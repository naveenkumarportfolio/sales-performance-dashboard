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9CAEFF1E-E057-4942-94C6-BBBDD00F0EAB}" xr6:coauthVersionLast="47" xr6:coauthVersionMax="47" xr10:uidLastSave="{00000000-0000-0000-0000-000000000000}"/>
  <bookViews>
    <workbookView xWindow="-108" yWindow="-108" windowWidth="23256" windowHeight="12720" tabRatio="500" xr2:uid="{00000000-000D-0000-FFFF-FFFF00000000}"/>
  </bookViews>
  <sheets>
    <sheet name="Dashboard" sheetId="1" r:id="rId1"/>
    <sheet name="Sales_Data" sheetId="2" r:id="rId2"/>
    <sheet name="Monthly_Analysis" sheetId="3" r:id="rId3"/>
    <sheet name="Product_Analysi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6" i="4" l="1"/>
  <c r="D16" i="4"/>
  <c r="E15" i="4"/>
  <c r="D15" i="4"/>
  <c r="E14" i="4"/>
  <c r="E17" i="4" s="1"/>
  <c r="D14" i="4"/>
  <c r="D17" i="4" s="1"/>
  <c r="G9" i="4"/>
  <c r="F9" i="4"/>
  <c r="G8" i="4"/>
  <c r="F8" i="4"/>
  <c r="G7" i="4"/>
  <c r="F7" i="4"/>
  <c r="G6" i="4"/>
  <c r="G10" i="4" s="1"/>
  <c r="F6" i="4"/>
  <c r="F10" i="4" s="1"/>
  <c r="F16" i="3"/>
  <c r="E16" i="3"/>
  <c r="G16" i="3" s="1"/>
  <c r="F15" i="3"/>
  <c r="E15" i="3"/>
  <c r="F14" i="3"/>
  <c r="E14" i="3"/>
  <c r="F13" i="3"/>
  <c r="E13" i="3"/>
  <c r="F12" i="3"/>
  <c r="E12" i="3"/>
  <c r="G12" i="3" s="1"/>
  <c r="F11" i="3"/>
  <c r="E11" i="3"/>
  <c r="F10" i="3"/>
  <c r="E10" i="3"/>
  <c r="F9" i="3"/>
  <c r="E9" i="3"/>
  <c r="F8" i="3"/>
  <c r="E8" i="3"/>
  <c r="G8" i="3" s="1"/>
  <c r="F7" i="3"/>
  <c r="E7" i="3"/>
  <c r="F6" i="3"/>
  <c r="E6" i="3"/>
  <c r="J5" i="3"/>
  <c r="I5" i="3"/>
  <c r="F5" i="3"/>
  <c r="F17" i="3" s="1"/>
  <c r="E5" i="3"/>
  <c r="E17" i="3" s="1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D16" i="3" s="1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D15" i="3" s="1"/>
  <c r="H16" i="3" s="1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D14" i="3" s="1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D13" i="3" s="1"/>
  <c r="H14" i="3" s="1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D12" i="3" s="1"/>
  <c r="G103" i="2"/>
  <c r="G102" i="2"/>
  <c r="G101" i="2"/>
  <c r="G100" i="2"/>
  <c r="G99" i="2"/>
  <c r="G98" i="2"/>
  <c r="G97" i="2"/>
  <c r="G96" i="2"/>
  <c r="G95" i="2"/>
  <c r="D11" i="3" s="1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D10" i="3" s="1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D9" i="3" s="1"/>
  <c r="H10" i="3" s="1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D8" i="3" s="1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D7" i="3" s="1"/>
  <c r="H8" i="3" s="1"/>
  <c r="G30" i="2"/>
  <c r="G29" i="2"/>
  <c r="G28" i="2"/>
  <c r="G27" i="2"/>
  <c r="G26" i="2"/>
  <c r="G25" i="2"/>
  <c r="G24" i="2"/>
  <c r="G23" i="2"/>
  <c r="E9" i="4" s="1"/>
  <c r="G22" i="2"/>
  <c r="G21" i="2"/>
  <c r="G20" i="2"/>
  <c r="G19" i="2"/>
  <c r="G18" i="2"/>
  <c r="G17" i="2"/>
  <c r="G16" i="2"/>
  <c r="D6" i="3" s="1"/>
  <c r="G15" i="2"/>
  <c r="G14" i="2"/>
  <c r="G13" i="2"/>
  <c r="G12" i="2"/>
  <c r="G11" i="2"/>
  <c r="G10" i="2"/>
  <c r="G9" i="2"/>
  <c r="G8" i="2"/>
  <c r="G7" i="2"/>
  <c r="G6" i="2"/>
  <c r="G5" i="2"/>
  <c r="E8" i="4" s="1"/>
  <c r="G4" i="2"/>
  <c r="G3" i="2"/>
  <c r="B6" i="1" s="1"/>
  <c r="G2" i="2"/>
  <c r="E20" i="4" s="1"/>
  <c r="H6" i="1"/>
  <c r="E6" i="1"/>
  <c r="I9" i="4" l="1"/>
  <c r="J8" i="3"/>
  <c r="I8" i="3"/>
  <c r="H12" i="3"/>
  <c r="I16" i="3"/>
  <c r="J16" i="3"/>
  <c r="J14" i="3"/>
  <c r="I14" i="3"/>
  <c r="K6" i="1"/>
  <c r="J10" i="3"/>
  <c r="I10" i="3"/>
  <c r="H13" i="3"/>
  <c r="H15" i="3"/>
  <c r="G14" i="3"/>
  <c r="G7" i="3"/>
  <c r="G9" i="3"/>
  <c r="G11" i="3"/>
  <c r="G13" i="3"/>
  <c r="G15" i="3"/>
  <c r="H7" i="3"/>
  <c r="G6" i="3"/>
  <c r="I8" i="4"/>
  <c r="H9" i="3"/>
  <c r="H11" i="3"/>
  <c r="G10" i="3"/>
  <c r="E6" i="4"/>
  <c r="C14" i="4"/>
  <c r="D20" i="3"/>
  <c r="E7" i="4"/>
  <c r="C15" i="4"/>
  <c r="D5" i="3"/>
  <c r="C16" i="4"/>
  <c r="I7" i="4" l="1"/>
  <c r="G16" i="4"/>
  <c r="E10" i="4"/>
  <c r="I6" i="4"/>
  <c r="I12" i="3"/>
  <c r="J12" i="3"/>
  <c r="D17" i="3"/>
  <c r="H6" i="3"/>
  <c r="G5" i="3"/>
  <c r="J11" i="3"/>
  <c r="I11" i="3"/>
  <c r="J15" i="3"/>
  <c r="I15" i="3"/>
  <c r="G15" i="4"/>
  <c r="C17" i="4"/>
  <c r="E22" i="4" s="1"/>
  <c r="G14" i="4"/>
  <c r="I9" i="3"/>
  <c r="J9" i="3"/>
  <c r="J7" i="3"/>
  <c r="I7" i="3"/>
  <c r="I13" i="3"/>
  <c r="J13" i="3"/>
  <c r="E21" i="4" l="1"/>
  <c r="E23" i="4" s="1"/>
  <c r="H9" i="4"/>
  <c r="H8" i="4"/>
  <c r="F16" i="4"/>
  <c r="F15" i="4"/>
  <c r="J6" i="3"/>
  <c r="I6" i="3"/>
  <c r="D21" i="3"/>
  <c r="D22" i="3" s="1"/>
  <c r="G17" i="3"/>
  <c r="H7" i="4"/>
  <c r="F14" i="4"/>
  <c r="F17" i="4" s="1"/>
  <c r="H6" i="4"/>
  <c r="H10" i="4" l="1"/>
</calcChain>
</file>

<file path=xl/sharedStrings.xml><?xml version="1.0" encoding="utf-8"?>
<sst xmlns="http://schemas.openxmlformats.org/spreadsheetml/2006/main" count="676" uniqueCount="260">
  <si>
    <t>Sales Performance &amp; Revenue Growth Dashboard</t>
  </si>
  <si>
    <t>TOTAL REVENUE</t>
  </si>
  <si>
    <t>TOTAL ORDERS</t>
  </si>
  <si>
    <t>TOTAL UNITS SOLD</t>
  </si>
  <si>
    <t>AVG ORDER VALUE</t>
  </si>
  <si>
    <t>Order_ID</t>
  </si>
  <si>
    <t>Order_Date</t>
  </si>
  <si>
    <t>Product</t>
  </si>
  <si>
    <t>Category</t>
  </si>
  <si>
    <t>Quantity</t>
  </si>
  <si>
    <t>Unit_Price_INR</t>
  </si>
  <si>
    <t>Revenue_INR</t>
  </si>
  <si>
    <t>NR-2025-0001</t>
  </si>
  <si>
    <t>USB-C Hub</t>
  </si>
  <si>
    <t>Electronics</t>
  </si>
  <si>
    <t>NR-2025-0002</t>
  </si>
  <si>
    <t>Wireless Mouse</t>
  </si>
  <si>
    <t>NR-2025-0003</t>
  </si>
  <si>
    <t>NR-2025-0004</t>
  </si>
  <si>
    <t>Notebook Set</t>
  </si>
  <si>
    <t>Stationery</t>
  </si>
  <si>
    <t>NR-2025-0005</t>
  </si>
  <si>
    <t>NR-2025-0006</t>
  </si>
  <si>
    <t>NR-2025-0007</t>
  </si>
  <si>
    <t>NR-2025-0008</t>
  </si>
  <si>
    <t>NR-2025-0009</t>
  </si>
  <si>
    <t>NR-2025-0010</t>
  </si>
  <si>
    <t>NR-2025-0011</t>
  </si>
  <si>
    <t>NR-2025-0012</t>
  </si>
  <si>
    <t>NR-2025-0013</t>
  </si>
  <si>
    <t>NR-2025-0014</t>
  </si>
  <si>
    <t>NR-2025-0015</t>
  </si>
  <si>
    <t>NR-2025-0016</t>
  </si>
  <si>
    <t>NR-2025-0017</t>
  </si>
  <si>
    <t>NR-2025-0018</t>
  </si>
  <si>
    <t>NR-2025-0019</t>
  </si>
  <si>
    <t>NR-2025-0020</t>
  </si>
  <si>
    <t>NR-2025-0021</t>
  </si>
  <si>
    <t>NR-2025-0022</t>
  </si>
  <si>
    <t>Desk Organizer</t>
  </si>
  <si>
    <t>Office Supplies</t>
  </si>
  <si>
    <t>NR-2025-0023</t>
  </si>
  <si>
    <t>NR-2025-0024</t>
  </si>
  <si>
    <t>NR-2025-0025</t>
  </si>
  <si>
    <t>NR-2025-0026</t>
  </si>
  <si>
    <t>NR-2025-0027</t>
  </si>
  <si>
    <t>NR-2025-0028</t>
  </si>
  <si>
    <t>NR-2025-0029</t>
  </si>
  <si>
    <t>NR-2025-0030</t>
  </si>
  <si>
    <t>NR-2025-0031</t>
  </si>
  <si>
    <t>NR-2025-0032</t>
  </si>
  <si>
    <t>NR-2025-0033</t>
  </si>
  <si>
    <t>NR-2025-0034</t>
  </si>
  <si>
    <t>NR-2025-0035</t>
  </si>
  <si>
    <t>NR-2025-0036</t>
  </si>
  <si>
    <t>NR-2025-0037</t>
  </si>
  <si>
    <t>NR-2025-0038</t>
  </si>
  <si>
    <t>NR-2025-0039</t>
  </si>
  <si>
    <t>NR-2025-0040</t>
  </si>
  <si>
    <t>NR-2025-0041</t>
  </si>
  <si>
    <t>NR-2025-0042</t>
  </si>
  <si>
    <t>NR-2025-0043</t>
  </si>
  <si>
    <t>NR-2025-0044</t>
  </si>
  <si>
    <t>NR-2025-0045</t>
  </si>
  <si>
    <t>NR-2025-0046</t>
  </si>
  <si>
    <t>NR-2025-0047</t>
  </si>
  <si>
    <t>NR-2025-0048</t>
  </si>
  <si>
    <t>NR-2025-0049</t>
  </si>
  <si>
    <t>NR-2025-0050</t>
  </si>
  <si>
    <t>NR-2025-0051</t>
  </si>
  <si>
    <t>NR-2025-0052</t>
  </si>
  <si>
    <t>NR-2025-0053</t>
  </si>
  <si>
    <t>NR-2025-0054</t>
  </si>
  <si>
    <t>NR-2025-0055</t>
  </si>
  <si>
    <t>NR-2025-0056</t>
  </si>
  <si>
    <t>NR-2025-0057</t>
  </si>
  <si>
    <t>NR-2025-0058</t>
  </si>
  <si>
    <t>NR-2025-0059</t>
  </si>
  <si>
    <t>NR-2025-0060</t>
  </si>
  <si>
    <t>NR-2025-0061</t>
  </si>
  <si>
    <t>NR-2025-0062</t>
  </si>
  <si>
    <t>NR-2025-0063</t>
  </si>
  <si>
    <t>NR-2025-0064</t>
  </si>
  <si>
    <t>NR-2025-0065</t>
  </si>
  <si>
    <t>NR-2025-0066</t>
  </si>
  <si>
    <t>NR-2025-0067</t>
  </si>
  <si>
    <t>NR-2025-0068</t>
  </si>
  <si>
    <t>NR-2025-0069</t>
  </si>
  <si>
    <t>NR-2025-0070</t>
  </si>
  <si>
    <t>NR-2025-0071</t>
  </si>
  <si>
    <t>NR-2025-0072</t>
  </si>
  <si>
    <t>NR-2025-0073</t>
  </si>
  <si>
    <t>NR-2025-0074</t>
  </si>
  <si>
    <t>NR-2025-0075</t>
  </si>
  <si>
    <t>NR-2025-0076</t>
  </si>
  <si>
    <t>NR-2025-0077</t>
  </si>
  <si>
    <t>NR-2025-0078</t>
  </si>
  <si>
    <t>NR-2025-0079</t>
  </si>
  <si>
    <t>NR-2025-0080</t>
  </si>
  <si>
    <t>NR-2025-0081</t>
  </si>
  <si>
    <t>NR-2025-0082</t>
  </si>
  <si>
    <t>NR-2025-0083</t>
  </si>
  <si>
    <t>NR-2025-0084</t>
  </si>
  <si>
    <t>NR-2025-0085</t>
  </si>
  <si>
    <t>NR-2025-0086</t>
  </si>
  <si>
    <t>NR-2025-0087</t>
  </si>
  <si>
    <t>NR-2025-0088</t>
  </si>
  <si>
    <t>NR-2025-0089</t>
  </si>
  <si>
    <t>NR-2025-0090</t>
  </si>
  <si>
    <t>NR-2025-0091</t>
  </si>
  <si>
    <t>NR-2025-0092</t>
  </si>
  <si>
    <t>NR-2025-0093</t>
  </si>
  <si>
    <t>NR-2025-0094</t>
  </si>
  <si>
    <t>NR-2025-0095</t>
  </si>
  <si>
    <t>NR-2025-0096</t>
  </si>
  <si>
    <t>NR-2025-0097</t>
  </si>
  <si>
    <t>NR-2025-0098</t>
  </si>
  <si>
    <t>NR-2025-0099</t>
  </si>
  <si>
    <t>NR-2025-0100</t>
  </si>
  <si>
    <t>NR-2025-0101</t>
  </si>
  <si>
    <t>NR-2025-0102</t>
  </si>
  <si>
    <t>NR-2025-0103</t>
  </si>
  <si>
    <t>NR-2025-0104</t>
  </si>
  <si>
    <t>NR-2025-0105</t>
  </si>
  <si>
    <t>NR-2025-0106</t>
  </si>
  <si>
    <t>NR-2025-0107</t>
  </si>
  <si>
    <t>NR-2025-0108</t>
  </si>
  <si>
    <t>NR-2025-0109</t>
  </si>
  <si>
    <t>NR-2025-0110</t>
  </si>
  <si>
    <t>NR-2025-0111</t>
  </si>
  <si>
    <t>NR-2025-0112</t>
  </si>
  <si>
    <t>NR-2025-0113</t>
  </si>
  <si>
    <t>NR-2025-0114</t>
  </si>
  <si>
    <t>NR-2025-0115</t>
  </si>
  <si>
    <t>NR-2025-0116</t>
  </si>
  <si>
    <t>NR-2025-0117</t>
  </si>
  <si>
    <t>NR-2025-0118</t>
  </si>
  <si>
    <t>NR-2025-0119</t>
  </si>
  <si>
    <t>NR-2025-0120</t>
  </si>
  <si>
    <t>NR-2025-0121</t>
  </si>
  <si>
    <t>NR-2025-0122</t>
  </si>
  <si>
    <t>NR-2025-0123</t>
  </si>
  <si>
    <t>NR-2025-0124</t>
  </si>
  <si>
    <t>NR-2025-0125</t>
  </si>
  <si>
    <t>NR-2025-0126</t>
  </si>
  <si>
    <t>NR-2025-0127</t>
  </si>
  <si>
    <t>NR-2025-0128</t>
  </si>
  <si>
    <t>NR-2025-0129</t>
  </si>
  <si>
    <t>NR-2025-0130</t>
  </si>
  <si>
    <t>NR-2025-0131</t>
  </si>
  <si>
    <t>NR-2025-0132</t>
  </si>
  <si>
    <t>NR-2025-0133</t>
  </si>
  <si>
    <t>NR-2025-0134</t>
  </si>
  <si>
    <t>NR-2025-0135</t>
  </si>
  <si>
    <t>NR-2025-0136</t>
  </si>
  <si>
    <t>NR-2025-0137</t>
  </si>
  <si>
    <t>NR-2025-0138</t>
  </si>
  <si>
    <t>NR-2025-0139</t>
  </si>
  <si>
    <t>NR-2025-0140</t>
  </si>
  <si>
    <t>NR-2025-0141</t>
  </si>
  <si>
    <t>NR-2025-0142</t>
  </si>
  <si>
    <t>NR-2025-0143</t>
  </si>
  <si>
    <t>NR-2025-0144</t>
  </si>
  <si>
    <t>NR-2025-0145</t>
  </si>
  <si>
    <t>NR-2025-0146</t>
  </si>
  <si>
    <t>NR-2025-0147</t>
  </si>
  <si>
    <t>NR-2025-0148</t>
  </si>
  <si>
    <t>NR-2025-0149</t>
  </si>
  <si>
    <t>NR-2025-0150</t>
  </si>
  <si>
    <t>NR-2025-0151</t>
  </si>
  <si>
    <t>NR-2025-0152</t>
  </si>
  <si>
    <t>NR-2025-0153</t>
  </si>
  <si>
    <t>NR-2025-0154</t>
  </si>
  <si>
    <t>NR-2025-0155</t>
  </si>
  <si>
    <t>NR-2025-0156</t>
  </si>
  <si>
    <t>NR-2025-0157</t>
  </si>
  <si>
    <t>NR-2025-0158</t>
  </si>
  <si>
    <t>NR-2025-0159</t>
  </si>
  <si>
    <t>NR-2025-0160</t>
  </si>
  <si>
    <t>NR-2025-0161</t>
  </si>
  <si>
    <t>NR-2025-0162</t>
  </si>
  <si>
    <t>NR-2025-0163</t>
  </si>
  <si>
    <t>NR-2025-0164</t>
  </si>
  <si>
    <t>NR-2025-0165</t>
  </si>
  <si>
    <t>NR-2025-0166</t>
  </si>
  <si>
    <t>NR-2025-0167</t>
  </si>
  <si>
    <t>NR-2025-0168</t>
  </si>
  <si>
    <t>NR-2025-0169</t>
  </si>
  <si>
    <t>NR-2025-0170</t>
  </si>
  <si>
    <t>NR-2025-0171</t>
  </si>
  <si>
    <t>NR-2025-0172</t>
  </si>
  <si>
    <t>NR-2025-0173</t>
  </si>
  <si>
    <t>NR-2025-0174</t>
  </si>
  <si>
    <t>NR-2025-0175</t>
  </si>
  <si>
    <t>NR-2025-0176</t>
  </si>
  <si>
    <t>NR-2025-0177</t>
  </si>
  <si>
    <t>NR-2025-0178</t>
  </si>
  <si>
    <t>NR-2025-0179</t>
  </si>
  <si>
    <t>NR-2025-0180</t>
  </si>
  <si>
    <t>NR-2025-0181</t>
  </si>
  <si>
    <t>NR-2025-0182</t>
  </si>
  <si>
    <t>NR-2025-0183</t>
  </si>
  <si>
    <t>NR-2025-0184</t>
  </si>
  <si>
    <t>NR-2025-0185</t>
  </si>
  <si>
    <t>NR-2025-0186</t>
  </si>
  <si>
    <t>NR-2025-0187</t>
  </si>
  <si>
    <t>NR-2025-0188</t>
  </si>
  <si>
    <t>NR-2025-0189</t>
  </si>
  <si>
    <t>NR-2025-0190</t>
  </si>
  <si>
    <t>NR-2025-0191</t>
  </si>
  <si>
    <t>NR-2025-0192</t>
  </si>
  <si>
    <t>NR-2025-0193</t>
  </si>
  <si>
    <t>NR-2025-0194</t>
  </si>
  <si>
    <t>NR-2025-0195</t>
  </si>
  <si>
    <t>NR-2025-0196</t>
  </si>
  <si>
    <t>NR-2025-0197</t>
  </si>
  <si>
    <t>NR-2025-0198</t>
  </si>
  <si>
    <t>NR-2025-0199</t>
  </si>
  <si>
    <t>NR-2025-0200</t>
  </si>
  <si>
    <t>Monthly Analysis</t>
  </si>
  <si>
    <t>Month</t>
  </si>
  <si>
    <t>Month Start</t>
  </si>
  <si>
    <t>Total Revenue (INR)</t>
  </si>
  <si>
    <t>Orders</t>
  </si>
  <si>
    <t>Units Sold</t>
  </si>
  <si>
    <t>Avg Order Value (INR)</t>
  </si>
  <si>
    <t>MoM Revenue Growth %</t>
  </si>
  <si>
    <t>Chart helper: Growth ≥ 0</t>
  </si>
  <si>
    <t>Chart helper: Growth &lt; 0</t>
  </si>
  <si>
    <t>Jan 2025</t>
  </si>
  <si>
    <t>N/A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</si>
  <si>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</si>
  <si>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</si>
  <si>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</si>
  <si>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</si>
  <si>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</si>
  <si>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</si>
  <si>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</si>
  <si>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</si>
  <si>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</si>
  <si>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</si>
  <si>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</si>
  <si>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Total</t>
  </si>
  <si>
    <t>Reconciliation check</t>
  </si>
  <si>
    <t>Sum of Sales_Data revenue</t>
  </si>
  <si>
    <t>Monthly total − source total</t>
  </si>
  <si>
    <t>Status</t>
  </si>
  <si>
    <t>Product &amp; Category Analysis</t>
  </si>
  <si>
    <t>Product analysis</t>
  </si>
  <si>
    <t>Unit Price (INR)</t>
  </si>
  <si>
    <t>Revenue (INR)</t>
  </si>
  <si>
    <t>Transactions</t>
  </si>
  <si>
    <t>Revenue Share %</t>
  </si>
  <si>
    <t>Revenue Rank</t>
  </si>
  <si>
    <t>Category analysis</t>
  </si>
  <si>
    <t>Reconciliation checks</t>
  </si>
  <si>
    <t>Source total revenue</t>
  </si>
  <si>
    <t>Product total − source</t>
  </si>
  <si>
    <t>Category total − source</t>
  </si>
  <si>
    <t>Nova Retail | Jan–Dec 2025 | All figures in 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</si>
</sst>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&gt;=10000000]\₹##\,##\,##\,##0;[&gt;=100000]\₹##\,##\,##0;\₹##,##0"/>
    <numFmt numFmtId="165" formatCode="dd\-mmm\-yyyy"/>
    <numFmt numFmtId="166" formatCode="0.0%;\-0.0%;0.0%"/>
  </numFmts>
  <fonts count="1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1F3864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b/>
      <sz val="11"/>
      <color rgb="FFC0504D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595959"/>
      <name val="Arial"/>
      <family val="2"/>
    </font>
    <font>
      <b/>
      <sz val="10"/>
      <name val="Arial"/>
      <family val="2"/>
    </font>
    <font>
      <sz val="11"/>
      <name val="Calibri"/>
      <family val="2"/>
      <charset val="1"/>
    </font>
    <font>
      <b/>
      <sz val="20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sz val="22"/>
      <name val="Arial"/>
      <family val="2"/>
    </font>
    <font>
      <b/>
      <sz val="16"/>
      <name val="Arial"/>
      <family val="2"/>
    </font>
    <font>
      <i/>
      <sz val="9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333333"/>
      </patternFill>
    </fill>
    <fill>
      <patternFill patternType="solid">
        <fgColor theme="0"/>
        <bgColor rgb="FFF2F7F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5" fontId="6" fillId="0" borderId="0" xfId="0" applyNumberFormat="1" applyFont="1"/>
    <xf numFmtId="164" fontId="6" fillId="0" borderId="0" xfId="0" applyNumberFormat="1" applyFont="1"/>
    <xf numFmtId="0" fontId="2" fillId="0" borderId="0" xfId="0" applyFont="1"/>
    <xf numFmtId="164" fontId="6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0" fillId="0" borderId="0" xfId="0" applyAlignment="1">
      <alignment vertical="top"/>
    </xf>
    <xf numFmtId="0" fontId="15" fillId="2" borderId="0" xfId="0" applyFont="1" applyFill="1"/>
    <xf numFmtId="0" fontId="16" fillId="2" borderId="0" xfId="0" applyFont="1" applyFill="1"/>
    <xf numFmtId="0" fontId="9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/>
    </xf>
    <xf numFmtId="165" fontId="7" fillId="4" borderId="1" xfId="0" applyNumberFormat="1" applyFont="1" applyFill="1" applyBorder="1" applyAlignment="1">
      <alignment horizontal="center"/>
    </xf>
    <xf numFmtId="164" fontId="7" fillId="4" borderId="1" xfId="0" applyNumberFormat="1" applyFont="1" applyFill="1" applyBorder="1" applyAlignment="1">
      <alignment horizontal="right"/>
    </xf>
    <xf numFmtId="166" fontId="7" fillId="4" borderId="1" xfId="0" applyNumberFormat="1" applyFont="1" applyFill="1" applyBorder="1" applyAlignment="1">
      <alignment horizontal="center"/>
    </xf>
    <xf numFmtId="166" fontId="8" fillId="4" borderId="1" xfId="0" applyNumberFormat="1" applyFont="1" applyFill="1" applyBorder="1" applyAlignment="1">
      <alignment horizontal="right"/>
    </xf>
    <xf numFmtId="0" fontId="7" fillId="5" borderId="1" xfId="0" applyFont="1" applyFill="1" applyBorder="1" applyAlignment="1">
      <alignment horizontal="center"/>
    </xf>
    <xf numFmtId="165" fontId="7" fillId="5" borderId="1" xfId="0" applyNumberFormat="1" applyFont="1" applyFill="1" applyBorder="1" applyAlignment="1">
      <alignment horizontal="center"/>
    </xf>
    <xf numFmtId="164" fontId="7" fillId="5" borderId="1" xfId="0" applyNumberFormat="1" applyFont="1" applyFill="1" applyBorder="1" applyAlignment="1">
      <alignment horizontal="right"/>
    </xf>
    <xf numFmtId="166" fontId="7" fillId="5" borderId="1" xfId="0" applyNumberFormat="1" applyFont="1" applyFill="1" applyBorder="1" applyAlignment="1">
      <alignment horizontal="center"/>
    </xf>
    <xf numFmtId="166" fontId="8" fillId="5" borderId="1" xfId="0" applyNumberFormat="1" applyFont="1" applyFill="1" applyBorder="1" applyAlignment="1">
      <alignment horizontal="right"/>
    </xf>
    <xf numFmtId="0" fontId="9" fillId="3" borderId="1" xfId="0" applyFont="1" applyFill="1" applyBorder="1" applyAlignment="1">
      <alignment horizontal="center"/>
    </xf>
    <xf numFmtId="164" fontId="9" fillId="3" borderId="1" xfId="0" applyNumberFormat="1" applyFont="1" applyFill="1" applyBorder="1" applyAlignment="1">
      <alignment horizontal="right"/>
    </xf>
    <xf numFmtId="0" fontId="9" fillId="3" borderId="1" xfId="0" applyFont="1" applyFill="1" applyBorder="1" applyAlignment="1">
      <alignment horizontal="right"/>
    </xf>
    <xf numFmtId="0" fontId="17" fillId="0" borderId="0" xfId="0" applyFont="1"/>
    <xf numFmtId="0" fontId="9" fillId="3" borderId="1" xfId="0" applyFont="1" applyFill="1" applyBorder="1" applyAlignment="1">
      <alignment horizontal="left"/>
    </xf>
    <xf numFmtId="166" fontId="9" fillId="3" borderId="1" xfId="0" applyNumberFormat="1" applyFont="1" applyFill="1" applyBorder="1" applyAlignment="1">
      <alignment horizontal="right"/>
    </xf>
    <xf numFmtId="0" fontId="1" fillId="5" borderId="1" xfId="0" applyFont="1" applyFill="1" applyBorder="1" applyAlignment="1">
      <alignment horizontal="left"/>
    </xf>
    <xf numFmtId="164" fontId="1" fillId="5" borderId="1" xfId="0" applyNumberFormat="1" applyFont="1" applyFill="1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166" fontId="1" fillId="5" borderId="1" xfId="0" applyNumberFormat="1" applyFont="1" applyFill="1" applyBorder="1" applyAlignment="1">
      <alignment horizontal="right"/>
    </xf>
    <xf numFmtId="0" fontId="1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164" fontId="1" fillId="4" borderId="1" xfId="0" applyNumberFormat="1" applyFont="1" applyFill="1" applyBorder="1" applyAlignment="1">
      <alignment horizontal="right"/>
    </xf>
    <xf numFmtId="0" fontId="1" fillId="4" borderId="1" xfId="0" applyFont="1" applyFill="1" applyBorder="1" applyAlignment="1">
      <alignment horizontal="right"/>
    </xf>
    <xf numFmtId="166" fontId="1" fillId="4" borderId="1" xfId="0" applyNumberFormat="1" applyFont="1" applyFill="1" applyBorder="1" applyAlignment="1">
      <alignment horizontal="right"/>
    </xf>
    <xf numFmtId="0" fontId="1" fillId="4" borderId="1" xfId="0" applyFont="1" applyFill="1" applyBorder="1" applyAlignment="1">
      <alignment horizontal="center"/>
    </xf>
    <xf numFmtId="0" fontId="17" fillId="4" borderId="0" xfId="0" applyFont="1" applyFill="1"/>
    <xf numFmtId="0" fontId="10" fillId="4" borderId="0" xfId="0" applyFont="1" applyFill="1"/>
    <xf numFmtId="0" fontId="9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vertical="center"/>
    </xf>
    <xf numFmtId="164" fontId="14" fillId="3" borderId="2" xfId="0" applyNumberFormat="1" applyFont="1" applyFill="1" applyBorder="1" applyAlignment="1">
      <alignment horizontal="center" vertical="center"/>
    </xf>
    <xf numFmtId="3" fontId="14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504D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2F7F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Revenue Trend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Monthly_Analysis!$D$4</c:f>
              <c:strCache>
                <c:ptCount val="1"/>
                <c:pt idx="0">
                  <c:v>Total Revenue (INR)</c:v>
                </c:pt>
              </c:strCache>
            </c:strRef>
          </c:tx>
          <c:spPr>
            <a:ln w="28080">
              <a:solidFill>
                <a:srgbClr val="1F3864"/>
              </a:solidFill>
              <a:round/>
            </a:ln>
          </c:spPr>
          <c:marker>
            <c:symbol val="circle"/>
            <c:size val="7"/>
            <c:spPr>
              <a:solidFill>
                <a:srgbClr val="1F386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Monthly_Analysis!$B$5:$B$16</c:f>
              <c:strCache>
                <c:ptCount val="12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</c:strCache>
            </c:strRef>
          </c:cat>
          <c:val>
            <c:numRef>
              <c:f>Monthly_Analysis!$D$5:$D$16</c:f>
              <c:numCache>
                <c:formatCode>[&gt;=10000000]\₹##\,##\,##\,##0;[&gt;=100000]\₹##\,##\,##0;\₹##,##0</c:formatCode>
                <c:ptCount val="12"/>
                <c:pt idx="0">
                  <c:v>26068</c:v>
                </c:pt>
                <c:pt idx="1">
                  <c:v>26465</c:v>
                </c:pt>
                <c:pt idx="2">
                  <c:v>37452</c:v>
                </c:pt>
                <c:pt idx="3">
                  <c:v>34263</c:v>
                </c:pt>
                <c:pt idx="4">
                  <c:v>38152</c:v>
                </c:pt>
                <c:pt idx="5">
                  <c:v>37359</c:v>
                </c:pt>
                <c:pt idx="6">
                  <c:v>16975</c:v>
                </c:pt>
                <c:pt idx="7">
                  <c:v>17871</c:v>
                </c:pt>
                <c:pt idx="8">
                  <c:v>26956</c:v>
                </c:pt>
                <c:pt idx="9">
                  <c:v>27358</c:v>
                </c:pt>
                <c:pt idx="10">
                  <c:v>48345</c:v>
                </c:pt>
                <c:pt idx="11">
                  <c:v>45440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63-4823-92F8-6EA36A1C4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3529135"/>
        <c:axId val="31074828"/>
      </c:lineChart>
      <c:catAx>
        <c:axId val="5352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074828"/>
        <c:crosses val="autoZero"/>
        <c:auto val="1"/>
        <c:lblAlgn val="ctr"/>
        <c:lblOffset val="100"/>
        <c:noMultiLvlLbl val="0"/>
      </c:catAx>
      <c:valAx>
        <c:axId val="3107482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5291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Product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Product_Analysis!$E$5</c:f>
              <c:strCache>
                <c:ptCount val="1"/>
                <c:pt idx="0">
                  <c:v>Revenue (INR)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Product_Analysis!$B$6:$B$9</c:f>
              <c:strCache>
                <c:ptCount val="4"/>
                <c:pt idx="0">
                  <c:v>Wireless Mouse</c:v>
                </c:pt>
                <c:pt idx="1">
                  <c:v>USB-C Hub</c:v>
                </c:pt>
                <c:pt idx="2">
                  <c:v>Notebook Set</c:v>
                </c:pt>
                <c:pt idx="3">
                  <c:v>Desk Organizer</c:v>
                </c:pt>
              </c:strCache>
            </c:strRef>
          </c:cat>
          <c:val>
            <c:numRef>
              <c:f>Product_Analysis!$E$6:$E$9</c:f>
              <c:numCache>
                <c:formatCode>[&gt;=10000000]\₹##\,##\,##\,##0;[&gt;=100000]\₹##\,##\,##0;\₹##,##0</c:formatCode>
                <c:ptCount val="4"/>
                <c:pt idx="0">
                  <c:v>162197</c:v>
                </c:pt>
                <c:pt idx="1">
                  <c:v>137908</c:v>
                </c:pt>
                <c:pt idx="2">
                  <c:v>37674</c:v>
                </c:pt>
                <c:pt idx="3">
                  <c:v>44925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24-4E0A-834A-CDB90F22F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9302871"/>
        <c:axId val="9409854"/>
      </c:barChart>
      <c:catAx>
        <c:axId val="4930287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09854"/>
        <c:crosses val="autoZero"/>
        <c:auto val="1"/>
        <c:lblAlgn val="ctr"/>
        <c:lblOffset val="100"/>
        <c:noMultiLvlLbl val="0"/>
      </c:catAx>
      <c:valAx>
        <c:axId val="9409854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302871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Category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Product_Analysis!$C$13</c:f>
              <c:strCache>
                <c:ptCount val="1"/>
                <c:pt idx="0">
                  <c:v>Revenue (INR)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Product_Analysis!$B$14:$B$16</c:f>
              <c:strCache>
                <c:ptCount val="3"/>
                <c:pt idx="0">
                  <c:v>Electronics</c:v>
                </c:pt>
                <c:pt idx="1">
                  <c:v>Stationery</c:v>
                </c:pt>
                <c:pt idx="2">
                  <c:v>Office Supplies</c:v>
                </c:pt>
              </c:strCache>
            </c:strRef>
          </c:cat>
          <c:val>
            <c:numRef>
              <c:f>Product_Analysis!$C$14:$C$16</c:f>
              <c:numCache>
                <c:formatCode>[&gt;=10000000]\₹##\,##\,##\,##0;[&gt;=100000]\₹##\,##\,##0;\₹##,##0</c:formatCode>
                <c:ptCount val="3"/>
                <c:pt idx="0">
                  <c:v>300105</c:v>
                </c:pt>
                <c:pt idx="1">
                  <c:v>37674</c:v>
                </c:pt>
                <c:pt idx="2">
                  <c:v>44925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A-46CB-AFFF-132927A10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64199082"/>
        <c:axId val="82122281"/>
      </c:barChart>
      <c:catAx>
        <c:axId val="641990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122281"/>
        <c:crosses val="autoZero"/>
        <c:auto val="1"/>
        <c:lblAlgn val="ctr"/>
        <c:lblOffset val="100"/>
        <c:noMultiLvlLbl val="0"/>
      </c:catAx>
      <c:valAx>
        <c:axId val="8212228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1990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Month-on-Month Revenue Growth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Monthly_Analysis!$I$4</c:f>
              <c:strCache>
                <c:ptCount val="1"/>
                <c:pt idx="0">
                  <c:v>Chart helper: Growth ≥ 0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Monthly_Analysis!$B$5:$B$16</c:f>
              <c:strCache>
                <c:ptCount val="12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</c:strCache>
            </c:strRef>
          </c:cat>
          <c:val>
            <c:numRef>
              <c:f>Monthly_Analysis!$I$5:$I$16</c:f>
              <c:numCache>
                <c:formatCode>0.0%;\-0.0%;0.0%</c:formatCode>
                <c:ptCount val="12"/>
                <c:pt idx="0">
                  <c:v>0</c:v>
                </c:pt>
                <c:pt idx="1">
                  <c:v>1.5229400030688968E-2</c:v>
                </c:pt>
                <c:pt idx="2">
                  <c:v>0.41515208766295109</c:v>
                </c:pt>
                <c:pt idx="3">
                  <c:v>0</c:v>
                </c:pt>
                <c:pt idx="4">
                  <c:v>0.11350436330735779</c:v>
                </c:pt>
                <c:pt idx="5">
                  <c:v>0</c:v>
                </c:pt>
                <c:pt idx="6">
                  <c:v>0</c:v>
                </c:pt>
                <c:pt idx="7">
                  <c:v>5.2783505154639178E-2</c:v>
                </c:pt>
                <c:pt idx="8">
                  <c:v>0.50836550836550831</c:v>
                </c:pt>
                <c:pt idx="9">
                  <c:v>1.4913191868229708E-2</c:v>
                </c:pt>
                <c:pt idx="10">
                  <c:v>0.76712478982381749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C-45A5-9405-4CD8DAFD4ABB}"/>
            </c:ext>
          </c:extLst>
        </c:ser>
        <c:ser>
          <c:idx val="1"/>
          <c:order val="1"/>
          <c:tx>
            <c:strRef>
              <c:f>Monthly_Analysis!$J$4</c:f>
              <c:strCache>
                <c:ptCount val="1"/>
                <c:pt idx="0">
                  <c:v>Chart helper: Growth &lt; 0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Monthly_Analysis!$B$5:$B$16</c:f>
              <c:strCache>
                <c:ptCount val="12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</c:strCache>
            </c:strRef>
          </c:cat>
          <c:val>
            <c:numRef>
              <c:f>Monthly_Analysis!$J$5:$J$16</c:f>
              <c:numCache>
                <c:formatCode>0.0%;\-0.0%;0.0%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-8.5148990708106373E-2</c:v>
                </c:pt>
                <c:pt idx="4">
                  <c:v>0</c:v>
                </c:pt>
                <c:pt idx="5">
                  <c:v>-2.078527993289998E-2</c:v>
                </c:pt>
                <c:pt idx="6">
                  <c:v>-0.54562488289301103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-6.0088944047988417E-2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0C-45A5-9405-4CD8DAFD4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71057981"/>
        <c:axId val="68354022"/>
      </c:barChart>
      <c:catAx>
        <c:axId val="710579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354022"/>
        <c:crosses val="autoZero"/>
        <c:auto val="1"/>
        <c:lblAlgn val="ctr"/>
        <c:lblOffset val="100"/>
        <c:noMultiLvlLbl val="0"/>
      </c:catAx>
      <c:valAx>
        <c:axId val="6835402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0579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6</xdr:col>
      <xdr:colOff>769320</xdr:colOff>
      <xdr:row>25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10</xdr:row>
      <xdr:rowOff>0</xdr:rowOff>
    </xdr:from>
    <xdr:to>
      <xdr:col>12</xdr:col>
      <xdr:colOff>769320</xdr:colOff>
      <xdr:row>25</xdr:row>
      <xdr:rowOff>21960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28</xdr:row>
      <xdr:rowOff>0</xdr:rowOff>
    </xdr:from>
    <xdr:to>
      <xdr:col>6</xdr:col>
      <xdr:colOff>769320</xdr:colOff>
      <xdr:row>43</xdr:row>
      <xdr:rowOff>21960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28</xdr:row>
      <xdr:rowOff>0</xdr:rowOff>
    </xdr:from>
    <xdr:to>
      <xdr:col>12</xdr:col>
      <xdr:colOff>769320</xdr:colOff>
      <xdr:row>43</xdr:row>
      <xdr:rowOff>21960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G201" totalsRowShown="0">
  <autoFilter ref="A1:G201" xr:uid="{00000000-0009-0000-0100-000001000000}"/>
  <tableColumns count="7">
    <tableColumn id="1" xr3:uid="{00000000-0010-0000-0000-000001000000}" name="Order_ID"/>
    <tableColumn id="2" xr3:uid="{00000000-0010-0000-0000-000002000000}" name="Order_Date"/>
    <tableColumn id="3" xr3:uid="{00000000-0010-0000-0000-000003000000}" name="Product"/>
    <tableColumn id="4" xr3:uid="{00000000-0010-0000-0000-000004000000}" name="Category"/>
    <tableColumn id="5" xr3:uid="{00000000-0010-0000-0000-000005000000}" name="Quantity"/>
    <tableColumn id="6" xr3:uid="{00000000-0010-0000-0000-000006000000}" name="Unit_Price_INR"/>
    <tableColumn id="7" xr3:uid="{00000000-0010-0000-0000-000007000000}" name="Revenue_IN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A1:N48"/>
  <sheetViews>
    <sheetView showGridLines="0" tabSelected="1" zoomScaleNormal="100" workbookViewId="0">
      <selection activeCell="R19" sqref="R19"/>
    </sheetView>
  </sheetViews>
  <sheetFormatPr defaultColWidth="8.6640625" defaultRowHeight="14.4" x14ac:dyDescent="0.3"/>
  <cols>
    <col min="1" max="1" width="2" customWidth="1"/>
    <col min="2" max="13" width="11.44140625" customWidth="1"/>
    <col min="14" max="14" width="2" customWidth="1"/>
  </cols>
  <sheetData>
    <row r="1" spans="1:14" ht="33.75" customHeight="1" x14ac:dyDescent="0.4">
      <c r="A1" s="10"/>
      <c r="B1" s="11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8" customHeight="1" x14ac:dyDescent="0.3">
      <c r="A2" s="10"/>
      <c r="B2" s="12" t="s">
        <v>259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x14ac:dyDescent="0.3">
      <c r="A3" s="10"/>
      <c r="B3" s="1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x14ac:dyDescent="0.3">
      <c r="G4" s="14"/>
    </row>
    <row r="5" spans="1:14" ht="21.75" customHeight="1" x14ac:dyDescent="0.3">
      <c r="B5" s="46" t="s">
        <v>1</v>
      </c>
      <c r="C5" s="46"/>
      <c r="D5" s="46"/>
      <c r="E5" s="46" t="s">
        <v>2</v>
      </c>
      <c r="F5" s="46"/>
      <c r="G5" s="46"/>
      <c r="H5" s="46" t="s">
        <v>3</v>
      </c>
      <c r="I5" s="46"/>
      <c r="J5" s="46"/>
      <c r="K5" s="47" t="s">
        <v>4</v>
      </c>
      <c r="L5" s="47"/>
      <c r="M5" s="47"/>
    </row>
    <row r="6" spans="1:14" x14ac:dyDescent="0.3">
      <c r="B6" s="48">
        <f>SUM(Sales_Data!$G:$G)</f>
        <v>382704</v>
      </c>
      <c r="C6" s="48"/>
      <c r="D6" s="48"/>
      <c r="E6" s="49">
        <f>COUNTA(Sales_Data!$A:$A)-1</f>
        <v>200</v>
      </c>
      <c r="F6" s="49"/>
      <c r="G6" s="49"/>
      <c r="H6" s="49">
        <f>SUM(Sales_Data!$E:$E)</f>
        <v>496</v>
      </c>
      <c r="I6" s="49"/>
      <c r="J6" s="49"/>
      <c r="K6" s="48">
        <f>IF(E6=0,"N/A",B6/E6)</f>
        <v>1913.52</v>
      </c>
      <c r="L6" s="48"/>
      <c r="M6" s="48"/>
    </row>
    <row r="7" spans="1:14" x14ac:dyDescent="0.3">
      <c r="B7" s="48"/>
      <c r="C7" s="48"/>
      <c r="D7" s="48"/>
      <c r="E7" s="49"/>
      <c r="F7" s="49"/>
      <c r="G7" s="49"/>
      <c r="H7" s="49"/>
      <c r="I7" s="49"/>
      <c r="J7" s="49"/>
      <c r="K7" s="48"/>
      <c r="L7" s="48"/>
      <c r="M7" s="48"/>
    </row>
    <row r="9" spans="1:14" x14ac:dyDescent="0.3">
      <c r="B9" s="1"/>
    </row>
    <row r="46" spans="2:2" x14ac:dyDescent="0.3">
      <c r="B46" s="1"/>
    </row>
    <row r="47" spans="2:2" x14ac:dyDescent="0.3">
      <c r="B47" s="1"/>
    </row>
    <row r="48" spans="2:2" x14ac:dyDescent="0.3">
      <c r="B48" s="1"/>
    </row>
  </sheetData>
  <mergeCells count="7">
    <mergeCell ref="B5:D5"/>
    <mergeCell ref="E5:G5"/>
    <mergeCell ref="H5:J5"/>
    <mergeCell ref="B6:D7"/>
    <mergeCell ref="E6:G7"/>
    <mergeCell ref="H6:J7"/>
    <mergeCell ref="K6:M7"/>
  </mergeCells>
  <pageMargins left="0.75" right="0.75" top="1" bottom="1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I201"/>
  <sheetViews>
    <sheetView zoomScaleNormal="100" workbookViewId="0">
      <pane ySplit="1" topLeftCell="A2" activePane="bottomLeft" state="frozen"/>
      <selection pane="bottomLeft" activeCell="I3" sqref="I3"/>
    </sheetView>
  </sheetViews>
  <sheetFormatPr defaultColWidth="8.6640625" defaultRowHeight="14.4" x14ac:dyDescent="0.3"/>
  <cols>
    <col min="1" max="1" width="16" customWidth="1"/>
    <col min="2" max="2" width="14" customWidth="1"/>
    <col min="3" max="4" width="18" customWidth="1"/>
    <col min="5" max="5" width="10" customWidth="1"/>
    <col min="6" max="7" width="16" customWidth="1"/>
    <col min="9" max="9" width="60" customWidth="1"/>
  </cols>
  <sheetData>
    <row r="1" spans="1:9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I1" s="3"/>
    </row>
    <row r="2" spans="1:9" x14ac:dyDescent="0.3">
      <c r="A2" s="4" t="s">
        <v>12</v>
      </c>
      <c r="B2" s="5">
        <v>45658</v>
      </c>
      <c r="C2" s="4" t="s">
        <v>13</v>
      </c>
      <c r="D2" s="4" t="s">
        <v>14</v>
      </c>
      <c r="E2" s="4">
        <v>1</v>
      </c>
      <c r="F2" s="6">
        <v>1499</v>
      </c>
      <c r="G2" s="6">
        <f t="shared" ref="G2:G33" si="0">E2*F2</f>
        <v>1499</v>
      </c>
      <c r="I2" s="1"/>
    </row>
    <row r="3" spans="1:9" x14ac:dyDescent="0.3">
      <c r="A3" s="4" t="s">
        <v>15</v>
      </c>
      <c r="B3" s="5">
        <v>45660</v>
      </c>
      <c r="C3" s="4" t="s">
        <v>16</v>
      </c>
      <c r="D3" s="4" t="s">
        <v>14</v>
      </c>
      <c r="E3" s="4">
        <v>1</v>
      </c>
      <c r="F3" s="6">
        <v>799</v>
      </c>
      <c r="G3" s="6">
        <f t="shared" si="0"/>
        <v>799</v>
      </c>
      <c r="I3" s="1"/>
    </row>
    <row r="4" spans="1:9" x14ac:dyDescent="0.3">
      <c r="A4" s="4" t="s">
        <v>17</v>
      </c>
      <c r="B4" s="5">
        <v>45660</v>
      </c>
      <c r="C4" s="4" t="s">
        <v>13</v>
      </c>
      <c r="D4" s="4" t="s">
        <v>14</v>
      </c>
      <c r="E4" s="4">
        <v>2</v>
      </c>
      <c r="F4" s="6">
        <v>1499</v>
      </c>
      <c r="G4" s="6">
        <f t="shared" si="0"/>
        <v>2998</v>
      </c>
    </row>
    <row r="5" spans="1:9" x14ac:dyDescent="0.3">
      <c r="A5" s="4" t="s">
        <v>18</v>
      </c>
      <c r="B5" s="5">
        <v>45663</v>
      </c>
      <c r="C5" s="4" t="s">
        <v>19</v>
      </c>
      <c r="D5" s="4" t="s">
        <v>20</v>
      </c>
      <c r="E5" s="4">
        <v>2</v>
      </c>
      <c r="F5" s="6">
        <v>299</v>
      </c>
      <c r="G5" s="6">
        <f t="shared" si="0"/>
        <v>598</v>
      </c>
    </row>
    <row r="6" spans="1:9" x14ac:dyDescent="0.3">
      <c r="A6" s="4" t="s">
        <v>21</v>
      </c>
      <c r="B6" s="5">
        <v>45665</v>
      </c>
      <c r="C6" s="4" t="s">
        <v>16</v>
      </c>
      <c r="D6" s="4" t="s">
        <v>14</v>
      </c>
      <c r="E6" s="4">
        <v>5</v>
      </c>
      <c r="F6" s="6">
        <v>799</v>
      </c>
      <c r="G6" s="6">
        <f t="shared" si="0"/>
        <v>3995</v>
      </c>
    </row>
    <row r="7" spans="1:9" x14ac:dyDescent="0.3">
      <c r="A7" s="4" t="s">
        <v>22</v>
      </c>
      <c r="B7" s="5">
        <v>45669</v>
      </c>
      <c r="C7" s="4" t="s">
        <v>19</v>
      </c>
      <c r="D7" s="4" t="s">
        <v>20</v>
      </c>
      <c r="E7" s="4">
        <v>1</v>
      </c>
      <c r="F7" s="6">
        <v>299</v>
      </c>
      <c r="G7" s="6">
        <f t="shared" si="0"/>
        <v>299</v>
      </c>
    </row>
    <row r="8" spans="1:9" x14ac:dyDescent="0.3">
      <c r="A8" s="4" t="s">
        <v>23</v>
      </c>
      <c r="B8" s="5">
        <v>45670</v>
      </c>
      <c r="C8" s="4" t="s">
        <v>16</v>
      </c>
      <c r="D8" s="4" t="s">
        <v>14</v>
      </c>
      <c r="E8" s="4">
        <v>4</v>
      </c>
      <c r="F8" s="6">
        <v>799</v>
      </c>
      <c r="G8" s="6">
        <f t="shared" si="0"/>
        <v>3196</v>
      </c>
    </row>
    <row r="9" spans="1:9" x14ac:dyDescent="0.3">
      <c r="A9" s="4" t="s">
        <v>24</v>
      </c>
      <c r="B9" s="5">
        <v>45673</v>
      </c>
      <c r="C9" s="4" t="s">
        <v>19</v>
      </c>
      <c r="D9" s="4" t="s">
        <v>20</v>
      </c>
      <c r="E9" s="4">
        <v>2</v>
      </c>
      <c r="F9" s="6">
        <v>299</v>
      </c>
      <c r="G9" s="6">
        <f t="shared" si="0"/>
        <v>598</v>
      </c>
    </row>
    <row r="10" spans="1:9" x14ac:dyDescent="0.3">
      <c r="A10" s="4" t="s">
        <v>25</v>
      </c>
      <c r="B10" s="5">
        <v>45674</v>
      </c>
      <c r="C10" s="4" t="s">
        <v>13</v>
      </c>
      <c r="D10" s="4" t="s">
        <v>14</v>
      </c>
      <c r="E10" s="4">
        <v>2</v>
      </c>
      <c r="F10" s="6">
        <v>1499</v>
      </c>
      <c r="G10" s="6">
        <f t="shared" si="0"/>
        <v>2998</v>
      </c>
    </row>
    <row r="11" spans="1:9" x14ac:dyDescent="0.3">
      <c r="A11" s="4" t="s">
        <v>26</v>
      </c>
      <c r="B11" s="5">
        <v>45675</v>
      </c>
      <c r="C11" s="4" t="s">
        <v>16</v>
      </c>
      <c r="D11" s="4" t="s">
        <v>14</v>
      </c>
      <c r="E11" s="4">
        <v>1</v>
      </c>
      <c r="F11" s="6">
        <v>799</v>
      </c>
      <c r="G11" s="6">
        <f t="shared" si="0"/>
        <v>799</v>
      </c>
    </row>
    <row r="12" spans="1:9" x14ac:dyDescent="0.3">
      <c r="A12" s="4" t="s">
        <v>27</v>
      </c>
      <c r="B12" s="5">
        <v>45676</v>
      </c>
      <c r="C12" s="4" t="s">
        <v>16</v>
      </c>
      <c r="D12" s="4" t="s">
        <v>14</v>
      </c>
      <c r="E12" s="4">
        <v>1</v>
      </c>
      <c r="F12" s="6">
        <v>799</v>
      </c>
      <c r="G12" s="6">
        <f t="shared" si="0"/>
        <v>799</v>
      </c>
    </row>
    <row r="13" spans="1:9" x14ac:dyDescent="0.3">
      <c r="A13" s="4" t="s">
        <v>28</v>
      </c>
      <c r="B13" s="5">
        <v>45678</v>
      </c>
      <c r="C13" s="4" t="s">
        <v>19</v>
      </c>
      <c r="D13" s="4" t="s">
        <v>20</v>
      </c>
      <c r="E13" s="4">
        <v>1</v>
      </c>
      <c r="F13" s="6">
        <v>299</v>
      </c>
      <c r="G13" s="6">
        <f t="shared" si="0"/>
        <v>299</v>
      </c>
    </row>
    <row r="14" spans="1:9" x14ac:dyDescent="0.3">
      <c r="A14" s="4" t="s">
        <v>29</v>
      </c>
      <c r="B14" s="5">
        <v>45684</v>
      </c>
      <c r="C14" s="4" t="s">
        <v>16</v>
      </c>
      <c r="D14" s="4" t="s">
        <v>14</v>
      </c>
      <c r="E14" s="4">
        <v>6</v>
      </c>
      <c r="F14" s="6">
        <v>799</v>
      </c>
      <c r="G14" s="6">
        <f t="shared" si="0"/>
        <v>4794</v>
      </c>
    </row>
    <row r="15" spans="1:9" x14ac:dyDescent="0.3">
      <c r="A15" s="4" t="s">
        <v>30</v>
      </c>
      <c r="B15" s="5">
        <v>45688</v>
      </c>
      <c r="C15" s="4" t="s">
        <v>16</v>
      </c>
      <c r="D15" s="4" t="s">
        <v>14</v>
      </c>
      <c r="E15" s="4">
        <v>3</v>
      </c>
      <c r="F15" s="6">
        <v>799</v>
      </c>
      <c r="G15" s="6">
        <f t="shared" si="0"/>
        <v>2397</v>
      </c>
    </row>
    <row r="16" spans="1:9" x14ac:dyDescent="0.3">
      <c r="A16" s="4" t="s">
        <v>31</v>
      </c>
      <c r="B16" s="5">
        <v>45694</v>
      </c>
      <c r="C16" s="4" t="s">
        <v>19</v>
      </c>
      <c r="D16" s="4" t="s">
        <v>20</v>
      </c>
      <c r="E16" s="4">
        <v>2</v>
      </c>
      <c r="F16" s="6">
        <v>299</v>
      </c>
      <c r="G16" s="6">
        <f t="shared" si="0"/>
        <v>598</v>
      </c>
    </row>
    <row r="17" spans="1:7" x14ac:dyDescent="0.3">
      <c r="A17" s="4" t="s">
        <v>32</v>
      </c>
      <c r="B17" s="5">
        <v>45697</v>
      </c>
      <c r="C17" s="4" t="s">
        <v>16</v>
      </c>
      <c r="D17" s="4" t="s">
        <v>14</v>
      </c>
      <c r="E17" s="4">
        <v>3</v>
      </c>
      <c r="F17" s="6">
        <v>799</v>
      </c>
      <c r="G17" s="6">
        <f t="shared" si="0"/>
        <v>2397</v>
      </c>
    </row>
    <row r="18" spans="1:7" x14ac:dyDescent="0.3">
      <c r="A18" s="4" t="s">
        <v>33</v>
      </c>
      <c r="B18" s="5">
        <v>45699</v>
      </c>
      <c r="C18" s="4" t="s">
        <v>13</v>
      </c>
      <c r="D18" s="4" t="s">
        <v>14</v>
      </c>
      <c r="E18" s="4">
        <v>5</v>
      </c>
      <c r="F18" s="6">
        <v>1499</v>
      </c>
      <c r="G18" s="6">
        <f t="shared" si="0"/>
        <v>7495</v>
      </c>
    </row>
    <row r="19" spans="1:7" x14ac:dyDescent="0.3">
      <c r="A19" s="4" t="s">
        <v>34</v>
      </c>
      <c r="B19" s="5">
        <v>45703</v>
      </c>
      <c r="C19" s="4" t="s">
        <v>16</v>
      </c>
      <c r="D19" s="4" t="s">
        <v>14</v>
      </c>
      <c r="E19" s="4">
        <v>2</v>
      </c>
      <c r="F19" s="6">
        <v>799</v>
      </c>
      <c r="G19" s="6">
        <f t="shared" si="0"/>
        <v>1598</v>
      </c>
    </row>
    <row r="20" spans="1:7" x14ac:dyDescent="0.3">
      <c r="A20" s="4" t="s">
        <v>35</v>
      </c>
      <c r="B20" s="5">
        <v>45703</v>
      </c>
      <c r="C20" s="4" t="s">
        <v>19</v>
      </c>
      <c r="D20" s="4" t="s">
        <v>20</v>
      </c>
      <c r="E20" s="4">
        <v>1</v>
      </c>
      <c r="F20" s="6">
        <v>299</v>
      </c>
      <c r="G20" s="6">
        <f t="shared" si="0"/>
        <v>299</v>
      </c>
    </row>
    <row r="21" spans="1:7" x14ac:dyDescent="0.3">
      <c r="A21" s="4" t="s">
        <v>36</v>
      </c>
      <c r="B21" s="5">
        <v>45705</v>
      </c>
      <c r="C21" s="4" t="s">
        <v>16</v>
      </c>
      <c r="D21" s="4" t="s">
        <v>14</v>
      </c>
      <c r="E21" s="4">
        <v>2</v>
      </c>
      <c r="F21" s="6">
        <v>799</v>
      </c>
      <c r="G21" s="6">
        <f t="shared" si="0"/>
        <v>1598</v>
      </c>
    </row>
    <row r="22" spans="1:7" x14ac:dyDescent="0.3">
      <c r="A22" s="4" t="s">
        <v>37</v>
      </c>
      <c r="B22" s="5">
        <v>45706</v>
      </c>
      <c r="C22" s="4" t="s">
        <v>16</v>
      </c>
      <c r="D22" s="4" t="s">
        <v>14</v>
      </c>
      <c r="E22" s="4">
        <v>4</v>
      </c>
      <c r="F22" s="6">
        <v>799</v>
      </c>
      <c r="G22" s="6">
        <f t="shared" si="0"/>
        <v>3196</v>
      </c>
    </row>
    <row r="23" spans="1:7" x14ac:dyDescent="0.3">
      <c r="A23" s="4" t="s">
        <v>38</v>
      </c>
      <c r="B23" s="5">
        <v>45707</v>
      </c>
      <c r="C23" s="4" t="s">
        <v>39</v>
      </c>
      <c r="D23" s="4" t="s">
        <v>40</v>
      </c>
      <c r="E23" s="4">
        <v>1</v>
      </c>
      <c r="F23" s="6">
        <v>599</v>
      </c>
      <c r="G23" s="6">
        <f t="shared" si="0"/>
        <v>599</v>
      </c>
    </row>
    <row r="24" spans="1:7" x14ac:dyDescent="0.3">
      <c r="A24" s="4" t="s">
        <v>41</v>
      </c>
      <c r="B24" s="5">
        <v>45712</v>
      </c>
      <c r="C24" s="4" t="s">
        <v>16</v>
      </c>
      <c r="D24" s="4" t="s">
        <v>14</v>
      </c>
      <c r="E24" s="4">
        <v>1</v>
      </c>
      <c r="F24" s="6">
        <v>799</v>
      </c>
      <c r="G24" s="6">
        <f t="shared" si="0"/>
        <v>799</v>
      </c>
    </row>
    <row r="25" spans="1:7" x14ac:dyDescent="0.3">
      <c r="A25" s="4" t="s">
        <v>42</v>
      </c>
      <c r="B25" s="5">
        <v>45713</v>
      </c>
      <c r="C25" s="4" t="s">
        <v>39</v>
      </c>
      <c r="D25" s="4" t="s">
        <v>40</v>
      </c>
      <c r="E25" s="4">
        <v>2</v>
      </c>
      <c r="F25" s="6">
        <v>599</v>
      </c>
      <c r="G25" s="6">
        <f t="shared" si="0"/>
        <v>1198</v>
      </c>
    </row>
    <row r="26" spans="1:7" x14ac:dyDescent="0.3">
      <c r="A26" s="4" t="s">
        <v>43</v>
      </c>
      <c r="B26" s="5">
        <v>45714</v>
      </c>
      <c r="C26" s="4" t="s">
        <v>19</v>
      </c>
      <c r="D26" s="4" t="s">
        <v>20</v>
      </c>
      <c r="E26" s="4">
        <v>5</v>
      </c>
      <c r="F26" s="6">
        <v>299</v>
      </c>
      <c r="G26" s="6">
        <f t="shared" si="0"/>
        <v>1495</v>
      </c>
    </row>
    <row r="27" spans="1:7" x14ac:dyDescent="0.3">
      <c r="A27" s="4" t="s">
        <v>44</v>
      </c>
      <c r="B27" s="5">
        <v>45715</v>
      </c>
      <c r="C27" s="4" t="s">
        <v>16</v>
      </c>
      <c r="D27" s="4" t="s">
        <v>14</v>
      </c>
      <c r="E27" s="4">
        <v>5</v>
      </c>
      <c r="F27" s="6">
        <v>799</v>
      </c>
      <c r="G27" s="6">
        <f t="shared" si="0"/>
        <v>3995</v>
      </c>
    </row>
    <row r="28" spans="1:7" x14ac:dyDescent="0.3">
      <c r="A28" s="4" t="s">
        <v>45</v>
      </c>
      <c r="B28" s="5">
        <v>45715</v>
      </c>
      <c r="C28" s="4" t="s">
        <v>39</v>
      </c>
      <c r="D28" s="4" t="s">
        <v>40</v>
      </c>
      <c r="E28" s="4">
        <v>2</v>
      </c>
      <c r="F28" s="6">
        <v>599</v>
      </c>
      <c r="G28" s="6">
        <f t="shared" si="0"/>
        <v>1198</v>
      </c>
    </row>
    <row r="29" spans="1:7" x14ac:dyDescent="0.3">
      <c r="A29" s="4" t="s">
        <v>46</v>
      </c>
      <c r="B29" s="5">
        <v>45717</v>
      </c>
      <c r="C29" s="4" t="s">
        <v>39</v>
      </c>
      <c r="D29" s="4" t="s">
        <v>40</v>
      </c>
      <c r="E29" s="4">
        <v>2</v>
      </c>
      <c r="F29" s="6">
        <v>599</v>
      </c>
      <c r="G29" s="6">
        <f t="shared" si="0"/>
        <v>1198</v>
      </c>
    </row>
    <row r="30" spans="1:7" x14ac:dyDescent="0.3">
      <c r="A30" s="4" t="s">
        <v>47</v>
      </c>
      <c r="B30" s="5">
        <v>45721</v>
      </c>
      <c r="C30" s="4" t="s">
        <v>16</v>
      </c>
      <c r="D30" s="4" t="s">
        <v>14</v>
      </c>
      <c r="E30" s="4">
        <v>1</v>
      </c>
      <c r="F30" s="6">
        <v>799</v>
      </c>
      <c r="G30" s="6">
        <f t="shared" si="0"/>
        <v>799</v>
      </c>
    </row>
    <row r="31" spans="1:7" x14ac:dyDescent="0.3">
      <c r="A31" s="4" t="s">
        <v>48</v>
      </c>
      <c r="B31" s="5">
        <v>45724</v>
      </c>
      <c r="C31" s="4" t="s">
        <v>16</v>
      </c>
      <c r="D31" s="4" t="s">
        <v>14</v>
      </c>
      <c r="E31" s="4">
        <v>3</v>
      </c>
      <c r="F31" s="6">
        <v>799</v>
      </c>
      <c r="G31" s="6">
        <f t="shared" si="0"/>
        <v>2397</v>
      </c>
    </row>
    <row r="32" spans="1:7" x14ac:dyDescent="0.3">
      <c r="A32" s="4" t="s">
        <v>49</v>
      </c>
      <c r="B32" s="5">
        <v>45726</v>
      </c>
      <c r="C32" s="4" t="s">
        <v>39</v>
      </c>
      <c r="D32" s="4" t="s">
        <v>40</v>
      </c>
      <c r="E32" s="4">
        <v>6</v>
      </c>
      <c r="F32" s="6">
        <v>599</v>
      </c>
      <c r="G32" s="6">
        <f t="shared" si="0"/>
        <v>3594</v>
      </c>
    </row>
    <row r="33" spans="1:7" x14ac:dyDescent="0.3">
      <c r="A33" s="4" t="s">
        <v>50</v>
      </c>
      <c r="B33" s="5">
        <v>45727</v>
      </c>
      <c r="C33" s="4" t="s">
        <v>16</v>
      </c>
      <c r="D33" s="4" t="s">
        <v>14</v>
      </c>
      <c r="E33" s="4">
        <v>2</v>
      </c>
      <c r="F33" s="6">
        <v>799</v>
      </c>
      <c r="G33" s="6">
        <f t="shared" si="0"/>
        <v>1598</v>
      </c>
    </row>
    <row r="34" spans="1:7" x14ac:dyDescent="0.3">
      <c r="A34" s="4" t="s">
        <v>51</v>
      </c>
      <c r="B34" s="5">
        <v>45729</v>
      </c>
      <c r="C34" s="4" t="s">
        <v>16</v>
      </c>
      <c r="D34" s="4" t="s">
        <v>14</v>
      </c>
      <c r="E34" s="4">
        <v>2</v>
      </c>
      <c r="F34" s="6">
        <v>799</v>
      </c>
      <c r="G34" s="6">
        <f t="shared" ref="G34:G65" si="1">E34*F34</f>
        <v>1598</v>
      </c>
    </row>
    <row r="35" spans="1:7" x14ac:dyDescent="0.3">
      <c r="A35" s="4" t="s">
        <v>52</v>
      </c>
      <c r="B35" s="5">
        <v>45733</v>
      </c>
      <c r="C35" s="4" t="s">
        <v>39</v>
      </c>
      <c r="D35" s="4" t="s">
        <v>40</v>
      </c>
      <c r="E35" s="4">
        <v>5</v>
      </c>
      <c r="F35" s="6">
        <v>599</v>
      </c>
      <c r="G35" s="6">
        <f t="shared" si="1"/>
        <v>2995</v>
      </c>
    </row>
    <row r="36" spans="1:7" x14ac:dyDescent="0.3">
      <c r="A36" s="4" t="s">
        <v>53</v>
      </c>
      <c r="B36" s="5">
        <v>45733</v>
      </c>
      <c r="C36" s="4" t="s">
        <v>39</v>
      </c>
      <c r="D36" s="4" t="s">
        <v>40</v>
      </c>
      <c r="E36" s="4">
        <v>1</v>
      </c>
      <c r="F36" s="6">
        <v>599</v>
      </c>
      <c r="G36" s="6">
        <f t="shared" si="1"/>
        <v>599</v>
      </c>
    </row>
    <row r="37" spans="1:7" x14ac:dyDescent="0.3">
      <c r="A37" s="4" t="s">
        <v>54</v>
      </c>
      <c r="B37" s="5">
        <v>45733</v>
      </c>
      <c r="C37" s="4" t="s">
        <v>16</v>
      </c>
      <c r="D37" s="4" t="s">
        <v>14</v>
      </c>
      <c r="E37" s="4">
        <v>3</v>
      </c>
      <c r="F37" s="6">
        <v>799</v>
      </c>
      <c r="G37" s="6">
        <f t="shared" si="1"/>
        <v>2397</v>
      </c>
    </row>
    <row r="38" spans="1:7" x14ac:dyDescent="0.3">
      <c r="A38" s="4" t="s">
        <v>55</v>
      </c>
      <c r="B38" s="5">
        <v>45734</v>
      </c>
      <c r="C38" s="4" t="s">
        <v>39</v>
      </c>
      <c r="D38" s="4" t="s">
        <v>40</v>
      </c>
      <c r="E38" s="4">
        <v>3</v>
      </c>
      <c r="F38" s="6">
        <v>599</v>
      </c>
      <c r="G38" s="6">
        <f t="shared" si="1"/>
        <v>1797</v>
      </c>
    </row>
    <row r="39" spans="1:7" x14ac:dyDescent="0.3">
      <c r="A39" s="4" t="s">
        <v>56</v>
      </c>
      <c r="B39" s="5">
        <v>45734</v>
      </c>
      <c r="C39" s="4" t="s">
        <v>16</v>
      </c>
      <c r="D39" s="4" t="s">
        <v>14</v>
      </c>
      <c r="E39" s="4">
        <v>2</v>
      </c>
      <c r="F39" s="6">
        <v>799</v>
      </c>
      <c r="G39" s="6">
        <f t="shared" si="1"/>
        <v>1598</v>
      </c>
    </row>
    <row r="40" spans="1:7" x14ac:dyDescent="0.3">
      <c r="A40" s="4" t="s">
        <v>57</v>
      </c>
      <c r="B40" s="5">
        <v>45735</v>
      </c>
      <c r="C40" s="4" t="s">
        <v>13</v>
      </c>
      <c r="D40" s="4" t="s">
        <v>14</v>
      </c>
      <c r="E40" s="4">
        <v>5</v>
      </c>
      <c r="F40" s="6">
        <v>1499</v>
      </c>
      <c r="G40" s="6">
        <f t="shared" si="1"/>
        <v>7495</v>
      </c>
    </row>
    <row r="41" spans="1:7" x14ac:dyDescent="0.3">
      <c r="A41" s="4" t="s">
        <v>58</v>
      </c>
      <c r="B41" s="5">
        <v>45735</v>
      </c>
      <c r="C41" s="4" t="s">
        <v>19</v>
      </c>
      <c r="D41" s="4" t="s">
        <v>20</v>
      </c>
      <c r="E41" s="4">
        <v>2</v>
      </c>
      <c r="F41" s="6">
        <v>299</v>
      </c>
      <c r="G41" s="6">
        <f t="shared" si="1"/>
        <v>598</v>
      </c>
    </row>
    <row r="42" spans="1:7" x14ac:dyDescent="0.3">
      <c r="A42" s="4" t="s">
        <v>59</v>
      </c>
      <c r="B42" s="5">
        <v>45735</v>
      </c>
      <c r="C42" s="4" t="s">
        <v>16</v>
      </c>
      <c r="D42" s="4" t="s">
        <v>14</v>
      </c>
      <c r="E42" s="4">
        <v>5</v>
      </c>
      <c r="F42" s="6">
        <v>799</v>
      </c>
      <c r="G42" s="6">
        <f t="shared" si="1"/>
        <v>3995</v>
      </c>
    </row>
    <row r="43" spans="1:7" x14ac:dyDescent="0.3">
      <c r="A43" s="4" t="s">
        <v>60</v>
      </c>
      <c r="B43" s="5">
        <v>45743</v>
      </c>
      <c r="C43" s="4" t="s">
        <v>16</v>
      </c>
      <c r="D43" s="4" t="s">
        <v>14</v>
      </c>
      <c r="E43" s="4">
        <v>3</v>
      </c>
      <c r="F43" s="6">
        <v>799</v>
      </c>
      <c r="G43" s="6">
        <f t="shared" si="1"/>
        <v>2397</v>
      </c>
    </row>
    <row r="44" spans="1:7" x14ac:dyDescent="0.3">
      <c r="A44" s="4" t="s">
        <v>61</v>
      </c>
      <c r="B44" s="5">
        <v>45746</v>
      </c>
      <c r="C44" s="4" t="s">
        <v>16</v>
      </c>
      <c r="D44" s="4" t="s">
        <v>14</v>
      </c>
      <c r="E44" s="4">
        <v>3</v>
      </c>
      <c r="F44" s="6">
        <v>799</v>
      </c>
      <c r="G44" s="6">
        <f t="shared" si="1"/>
        <v>2397</v>
      </c>
    </row>
    <row r="45" spans="1:7" x14ac:dyDescent="0.3">
      <c r="A45" s="4" t="s">
        <v>62</v>
      </c>
      <c r="B45" s="5">
        <v>45748</v>
      </c>
      <c r="C45" s="4" t="s">
        <v>13</v>
      </c>
      <c r="D45" s="4" t="s">
        <v>14</v>
      </c>
      <c r="E45" s="4">
        <v>2</v>
      </c>
      <c r="F45" s="6">
        <v>1499</v>
      </c>
      <c r="G45" s="6">
        <f t="shared" si="1"/>
        <v>2998</v>
      </c>
    </row>
    <row r="46" spans="1:7" x14ac:dyDescent="0.3">
      <c r="A46" s="4" t="s">
        <v>63</v>
      </c>
      <c r="B46" s="5">
        <v>45755</v>
      </c>
      <c r="C46" s="4" t="s">
        <v>16</v>
      </c>
      <c r="D46" s="4" t="s">
        <v>14</v>
      </c>
      <c r="E46" s="4">
        <v>1</v>
      </c>
      <c r="F46" s="6">
        <v>799</v>
      </c>
      <c r="G46" s="6">
        <f t="shared" si="1"/>
        <v>799</v>
      </c>
    </row>
    <row r="47" spans="1:7" x14ac:dyDescent="0.3">
      <c r="A47" s="4" t="s">
        <v>64</v>
      </c>
      <c r="B47" s="5">
        <v>45759</v>
      </c>
      <c r="C47" s="4" t="s">
        <v>39</v>
      </c>
      <c r="D47" s="4" t="s">
        <v>40</v>
      </c>
      <c r="E47" s="4">
        <v>2</v>
      </c>
      <c r="F47" s="6">
        <v>599</v>
      </c>
      <c r="G47" s="6">
        <f t="shared" si="1"/>
        <v>1198</v>
      </c>
    </row>
    <row r="48" spans="1:7" x14ac:dyDescent="0.3">
      <c r="A48" s="4" t="s">
        <v>65</v>
      </c>
      <c r="B48" s="5">
        <v>45759</v>
      </c>
      <c r="C48" s="4" t="s">
        <v>13</v>
      </c>
      <c r="D48" s="4" t="s">
        <v>14</v>
      </c>
      <c r="E48" s="4">
        <v>3</v>
      </c>
      <c r="F48" s="6">
        <v>1499</v>
      </c>
      <c r="G48" s="6">
        <f t="shared" si="1"/>
        <v>4497</v>
      </c>
    </row>
    <row r="49" spans="1:7" x14ac:dyDescent="0.3">
      <c r="A49" s="4" t="s">
        <v>66</v>
      </c>
      <c r="B49" s="5">
        <v>45764</v>
      </c>
      <c r="C49" s="4" t="s">
        <v>19</v>
      </c>
      <c r="D49" s="4" t="s">
        <v>20</v>
      </c>
      <c r="E49" s="4">
        <v>2</v>
      </c>
      <c r="F49" s="6">
        <v>299</v>
      </c>
      <c r="G49" s="6">
        <f t="shared" si="1"/>
        <v>598</v>
      </c>
    </row>
    <row r="50" spans="1:7" x14ac:dyDescent="0.3">
      <c r="A50" s="4" t="s">
        <v>67</v>
      </c>
      <c r="B50" s="5">
        <v>45765</v>
      </c>
      <c r="C50" s="4" t="s">
        <v>13</v>
      </c>
      <c r="D50" s="4" t="s">
        <v>14</v>
      </c>
      <c r="E50" s="4">
        <v>4</v>
      </c>
      <c r="F50" s="6">
        <v>1499</v>
      </c>
      <c r="G50" s="6">
        <f t="shared" si="1"/>
        <v>5996</v>
      </c>
    </row>
    <row r="51" spans="1:7" x14ac:dyDescent="0.3">
      <c r="A51" s="4" t="s">
        <v>68</v>
      </c>
      <c r="B51" s="5">
        <v>45766</v>
      </c>
      <c r="C51" s="4" t="s">
        <v>39</v>
      </c>
      <c r="D51" s="4" t="s">
        <v>40</v>
      </c>
      <c r="E51" s="4">
        <v>6</v>
      </c>
      <c r="F51" s="6">
        <v>599</v>
      </c>
      <c r="G51" s="6">
        <f t="shared" si="1"/>
        <v>3594</v>
      </c>
    </row>
    <row r="52" spans="1:7" x14ac:dyDescent="0.3">
      <c r="A52" s="4" t="s">
        <v>69</v>
      </c>
      <c r="B52" s="5">
        <v>45768</v>
      </c>
      <c r="C52" s="4" t="s">
        <v>39</v>
      </c>
      <c r="D52" s="4" t="s">
        <v>40</v>
      </c>
      <c r="E52" s="4">
        <v>1</v>
      </c>
      <c r="F52" s="6">
        <v>599</v>
      </c>
      <c r="G52" s="6">
        <f t="shared" si="1"/>
        <v>599</v>
      </c>
    </row>
    <row r="53" spans="1:7" x14ac:dyDescent="0.3">
      <c r="A53" s="4" t="s">
        <v>70</v>
      </c>
      <c r="B53" s="5">
        <v>45769</v>
      </c>
      <c r="C53" s="4" t="s">
        <v>39</v>
      </c>
      <c r="D53" s="4" t="s">
        <v>40</v>
      </c>
      <c r="E53" s="4">
        <v>2</v>
      </c>
      <c r="F53" s="6">
        <v>599</v>
      </c>
      <c r="G53" s="6">
        <f t="shared" si="1"/>
        <v>1198</v>
      </c>
    </row>
    <row r="54" spans="1:7" x14ac:dyDescent="0.3">
      <c r="A54" s="4" t="s">
        <v>71</v>
      </c>
      <c r="B54" s="5">
        <v>45770</v>
      </c>
      <c r="C54" s="4" t="s">
        <v>19</v>
      </c>
      <c r="D54" s="4" t="s">
        <v>20</v>
      </c>
      <c r="E54" s="4">
        <v>2</v>
      </c>
      <c r="F54" s="6">
        <v>299</v>
      </c>
      <c r="G54" s="6">
        <f t="shared" si="1"/>
        <v>598</v>
      </c>
    </row>
    <row r="55" spans="1:7" x14ac:dyDescent="0.3">
      <c r="A55" s="4" t="s">
        <v>72</v>
      </c>
      <c r="B55" s="5">
        <v>45771</v>
      </c>
      <c r="C55" s="4" t="s">
        <v>16</v>
      </c>
      <c r="D55" s="4" t="s">
        <v>14</v>
      </c>
      <c r="E55" s="4">
        <v>2</v>
      </c>
      <c r="F55" s="6">
        <v>799</v>
      </c>
      <c r="G55" s="6">
        <f t="shared" si="1"/>
        <v>1598</v>
      </c>
    </row>
    <row r="56" spans="1:7" x14ac:dyDescent="0.3">
      <c r="A56" s="4" t="s">
        <v>73</v>
      </c>
      <c r="B56" s="5">
        <v>45772</v>
      </c>
      <c r="C56" s="4" t="s">
        <v>16</v>
      </c>
      <c r="D56" s="4" t="s">
        <v>14</v>
      </c>
      <c r="E56" s="4">
        <v>1</v>
      </c>
      <c r="F56" s="6">
        <v>799</v>
      </c>
      <c r="G56" s="6">
        <f t="shared" si="1"/>
        <v>799</v>
      </c>
    </row>
    <row r="57" spans="1:7" x14ac:dyDescent="0.3">
      <c r="A57" s="4" t="s">
        <v>74</v>
      </c>
      <c r="B57" s="5">
        <v>45775</v>
      </c>
      <c r="C57" s="4" t="s">
        <v>13</v>
      </c>
      <c r="D57" s="4" t="s">
        <v>14</v>
      </c>
      <c r="E57" s="4">
        <v>4</v>
      </c>
      <c r="F57" s="6">
        <v>1499</v>
      </c>
      <c r="G57" s="6">
        <f t="shared" si="1"/>
        <v>5996</v>
      </c>
    </row>
    <row r="58" spans="1:7" x14ac:dyDescent="0.3">
      <c r="A58" s="4" t="s">
        <v>75</v>
      </c>
      <c r="B58" s="5">
        <v>45776</v>
      </c>
      <c r="C58" s="4" t="s">
        <v>16</v>
      </c>
      <c r="D58" s="4" t="s">
        <v>14</v>
      </c>
      <c r="E58" s="4">
        <v>4</v>
      </c>
      <c r="F58" s="6">
        <v>799</v>
      </c>
      <c r="G58" s="6">
        <f t="shared" si="1"/>
        <v>3196</v>
      </c>
    </row>
    <row r="59" spans="1:7" x14ac:dyDescent="0.3">
      <c r="A59" s="4" t="s">
        <v>76</v>
      </c>
      <c r="B59" s="5">
        <v>45776</v>
      </c>
      <c r="C59" s="4" t="s">
        <v>39</v>
      </c>
      <c r="D59" s="4" t="s">
        <v>40</v>
      </c>
      <c r="E59" s="4">
        <v>1</v>
      </c>
      <c r="F59" s="6">
        <v>599</v>
      </c>
      <c r="G59" s="6">
        <f t="shared" si="1"/>
        <v>599</v>
      </c>
    </row>
    <row r="60" spans="1:7" x14ac:dyDescent="0.3">
      <c r="A60" s="4" t="s">
        <v>77</v>
      </c>
      <c r="B60" s="5">
        <v>45779</v>
      </c>
      <c r="C60" s="4" t="s">
        <v>19</v>
      </c>
      <c r="D60" s="4" t="s">
        <v>20</v>
      </c>
      <c r="E60" s="4">
        <v>2</v>
      </c>
      <c r="F60" s="6">
        <v>299</v>
      </c>
      <c r="G60" s="6">
        <f t="shared" si="1"/>
        <v>598</v>
      </c>
    </row>
    <row r="61" spans="1:7" x14ac:dyDescent="0.3">
      <c r="A61" s="4" t="s">
        <v>78</v>
      </c>
      <c r="B61" s="5">
        <v>45784</v>
      </c>
      <c r="C61" s="4" t="s">
        <v>19</v>
      </c>
      <c r="D61" s="4" t="s">
        <v>20</v>
      </c>
      <c r="E61" s="4">
        <v>2</v>
      </c>
      <c r="F61" s="6">
        <v>299</v>
      </c>
      <c r="G61" s="6">
        <f t="shared" si="1"/>
        <v>598</v>
      </c>
    </row>
    <row r="62" spans="1:7" x14ac:dyDescent="0.3">
      <c r="A62" s="4" t="s">
        <v>79</v>
      </c>
      <c r="B62" s="5">
        <v>45785</v>
      </c>
      <c r="C62" s="4" t="s">
        <v>19</v>
      </c>
      <c r="D62" s="4" t="s">
        <v>20</v>
      </c>
      <c r="E62" s="4">
        <v>1</v>
      </c>
      <c r="F62" s="6">
        <v>299</v>
      </c>
      <c r="G62" s="6">
        <f t="shared" si="1"/>
        <v>299</v>
      </c>
    </row>
    <row r="63" spans="1:7" x14ac:dyDescent="0.3">
      <c r="A63" s="4" t="s">
        <v>80</v>
      </c>
      <c r="B63" s="5">
        <v>45786</v>
      </c>
      <c r="C63" s="4" t="s">
        <v>16</v>
      </c>
      <c r="D63" s="4" t="s">
        <v>14</v>
      </c>
      <c r="E63" s="4">
        <v>3</v>
      </c>
      <c r="F63" s="6">
        <v>799</v>
      </c>
      <c r="G63" s="6">
        <f t="shared" si="1"/>
        <v>2397</v>
      </c>
    </row>
    <row r="64" spans="1:7" x14ac:dyDescent="0.3">
      <c r="A64" s="4" t="s">
        <v>81</v>
      </c>
      <c r="B64" s="5">
        <v>45786</v>
      </c>
      <c r="C64" s="4" t="s">
        <v>19</v>
      </c>
      <c r="D64" s="4" t="s">
        <v>20</v>
      </c>
      <c r="E64" s="4">
        <v>3</v>
      </c>
      <c r="F64" s="6">
        <v>299</v>
      </c>
      <c r="G64" s="6">
        <f t="shared" si="1"/>
        <v>897</v>
      </c>
    </row>
    <row r="65" spans="1:7" x14ac:dyDescent="0.3">
      <c r="A65" s="4" t="s">
        <v>82</v>
      </c>
      <c r="B65" s="5">
        <v>45787</v>
      </c>
      <c r="C65" s="4" t="s">
        <v>13</v>
      </c>
      <c r="D65" s="4" t="s">
        <v>14</v>
      </c>
      <c r="E65" s="4">
        <v>3</v>
      </c>
      <c r="F65" s="6">
        <v>1499</v>
      </c>
      <c r="G65" s="6">
        <f t="shared" si="1"/>
        <v>4497</v>
      </c>
    </row>
    <row r="66" spans="1:7" x14ac:dyDescent="0.3">
      <c r="A66" s="4" t="s">
        <v>83</v>
      </c>
      <c r="B66" s="5">
        <v>45788</v>
      </c>
      <c r="C66" s="4" t="s">
        <v>19</v>
      </c>
      <c r="D66" s="4" t="s">
        <v>20</v>
      </c>
      <c r="E66" s="4">
        <v>6</v>
      </c>
      <c r="F66" s="6">
        <v>299</v>
      </c>
      <c r="G66" s="6">
        <f t="shared" ref="G66:G97" si="2">E66*F66</f>
        <v>1794</v>
      </c>
    </row>
    <row r="67" spans="1:7" x14ac:dyDescent="0.3">
      <c r="A67" s="4" t="s">
        <v>84</v>
      </c>
      <c r="B67" s="5">
        <v>45790</v>
      </c>
      <c r="C67" s="4" t="s">
        <v>19</v>
      </c>
      <c r="D67" s="4" t="s">
        <v>20</v>
      </c>
      <c r="E67" s="4">
        <v>2</v>
      </c>
      <c r="F67" s="6">
        <v>299</v>
      </c>
      <c r="G67" s="6">
        <f t="shared" si="2"/>
        <v>598</v>
      </c>
    </row>
    <row r="68" spans="1:7" x14ac:dyDescent="0.3">
      <c r="A68" s="4" t="s">
        <v>85</v>
      </c>
      <c r="B68" s="5">
        <v>45796</v>
      </c>
      <c r="C68" s="4" t="s">
        <v>19</v>
      </c>
      <c r="D68" s="4" t="s">
        <v>20</v>
      </c>
      <c r="E68" s="4">
        <v>3</v>
      </c>
      <c r="F68" s="6">
        <v>299</v>
      </c>
      <c r="G68" s="6">
        <f t="shared" si="2"/>
        <v>897</v>
      </c>
    </row>
    <row r="69" spans="1:7" x14ac:dyDescent="0.3">
      <c r="A69" s="4" t="s">
        <v>86</v>
      </c>
      <c r="B69" s="5">
        <v>45797</v>
      </c>
      <c r="C69" s="4" t="s">
        <v>16</v>
      </c>
      <c r="D69" s="4" t="s">
        <v>14</v>
      </c>
      <c r="E69" s="4">
        <v>3</v>
      </c>
      <c r="F69" s="6">
        <v>799</v>
      </c>
      <c r="G69" s="6">
        <f t="shared" si="2"/>
        <v>2397</v>
      </c>
    </row>
    <row r="70" spans="1:7" x14ac:dyDescent="0.3">
      <c r="A70" s="4" t="s">
        <v>87</v>
      </c>
      <c r="B70" s="5">
        <v>45797</v>
      </c>
      <c r="C70" s="4" t="s">
        <v>13</v>
      </c>
      <c r="D70" s="4" t="s">
        <v>14</v>
      </c>
      <c r="E70" s="4">
        <v>5</v>
      </c>
      <c r="F70" s="6">
        <v>1499</v>
      </c>
      <c r="G70" s="6">
        <f t="shared" si="2"/>
        <v>7495</v>
      </c>
    </row>
    <row r="71" spans="1:7" x14ac:dyDescent="0.3">
      <c r="A71" s="4" t="s">
        <v>88</v>
      </c>
      <c r="B71" s="5">
        <v>45798</v>
      </c>
      <c r="C71" s="4" t="s">
        <v>13</v>
      </c>
      <c r="D71" s="4" t="s">
        <v>14</v>
      </c>
      <c r="E71" s="4">
        <v>5</v>
      </c>
      <c r="F71" s="6">
        <v>1499</v>
      </c>
      <c r="G71" s="6">
        <f t="shared" si="2"/>
        <v>7495</v>
      </c>
    </row>
    <row r="72" spans="1:7" x14ac:dyDescent="0.3">
      <c r="A72" s="4" t="s">
        <v>89</v>
      </c>
      <c r="B72" s="5">
        <v>45798</v>
      </c>
      <c r="C72" s="4" t="s">
        <v>39</v>
      </c>
      <c r="D72" s="4" t="s">
        <v>40</v>
      </c>
      <c r="E72" s="4">
        <v>4</v>
      </c>
      <c r="F72" s="6">
        <v>599</v>
      </c>
      <c r="G72" s="6">
        <f t="shared" si="2"/>
        <v>2396</v>
      </c>
    </row>
    <row r="73" spans="1:7" x14ac:dyDescent="0.3">
      <c r="A73" s="4" t="s">
        <v>90</v>
      </c>
      <c r="B73" s="5">
        <v>45799</v>
      </c>
      <c r="C73" s="4" t="s">
        <v>16</v>
      </c>
      <c r="D73" s="4" t="s">
        <v>14</v>
      </c>
      <c r="E73" s="4">
        <v>1</v>
      </c>
      <c r="F73" s="6">
        <v>799</v>
      </c>
      <c r="G73" s="6">
        <f t="shared" si="2"/>
        <v>799</v>
      </c>
    </row>
    <row r="74" spans="1:7" x14ac:dyDescent="0.3">
      <c r="A74" s="4" t="s">
        <v>91</v>
      </c>
      <c r="B74" s="5">
        <v>45799</v>
      </c>
      <c r="C74" s="4" t="s">
        <v>39</v>
      </c>
      <c r="D74" s="4" t="s">
        <v>40</v>
      </c>
      <c r="E74" s="4">
        <v>2</v>
      </c>
      <c r="F74" s="6">
        <v>599</v>
      </c>
      <c r="G74" s="6">
        <f t="shared" si="2"/>
        <v>1198</v>
      </c>
    </row>
    <row r="75" spans="1:7" x14ac:dyDescent="0.3">
      <c r="A75" s="4" t="s">
        <v>92</v>
      </c>
      <c r="B75" s="5">
        <v>45802</v>
      </c>
      <c r="C75" s="4" t="s">
        <v>13</v>
      </c>
      <c r="D75" s="4" t="s">
        <v>14</v>
      </c>
      <c r="E75" s="4">
        <v>2</v>
      </c>
      <c r="F75" s="6">
        <v>1499</v>
      </c>
      <c r="G75" s="6">
        <f t="shared" si="2"/>
        <v>2998</v>
      </c>
    </row>
    <row r="76" spans="1:7" x14ac:dyDescent="0.3">
      <c r="A76" s="4" t="s">
        <v>93</v>
      </c>
      <c r="B76" s="5">
        <v>45808</v>
      </c>
      <c r="C76" s="4" t="s">
        <v>16</v>
      </c>
      <c r="D76" s="4" t="s">
        <v>14</v>
      </c>
      <c r="E76" s="4">
        <v>1</v>
      </c>
      <c r="F76" s="6">
        <v>799</v>
      </c>
      <c r="G76" s="6">
        <f t="shared" si="2"/>
        <v>799</v>
      </c>
    </row>
    <row r="77" spans="1:7" x14ac:dyDescent="0.3">
      <c r="A77" s="4" t="s">
        <v>94</v>
      </c>
      <c r="B77" s="5">
        <v>45809</v>
      </c>
      <c r="C77" s="4" t="s">
        <v>13</v>
      </c>
      <c r="D77" s="4" t="s">
        <v>14</v>
      </c>
      <c r="E77" s="4">
        <v>1</v>
      </c>
      <c r="F77" s="6">
        <v>1499</v>
      </c>
      <c r="G77" s="6">
        <f t="shared" si="2"/>
        <v>1499</v>
      </c>
    </row>
    <row r="78" spans="1:7" x14ac:dyDescent="0.3">
      <c r="A78" s="4" t="s">
        <v>95</v>
      </c>
      <c r="B78" s="5">
        <v>45812</v>
      </c>
      <c r="C78" s="4" t="s">
        <v>19</v>
      </c>
      <c r="D78" s="4" t="s">
        <v>20</v>
      </c>
      <c r="E78" s="4">
        <v>1</v>
      </c>
      <c r="F78" s="6">
        <v>299</v>
      </c>
      <c r="G78" s="6">
        <f t="shared" si="2"/>
        <v>299</v>
      </c>
    </row>
    <row r="79" spans="1:7" x14ac:dyDescent="0.3">
      <c r="A79" s="4" t="s">
        <v>96</v>
      </c>
      <c r="B79" s="5">
        <v>45813</v>
      </c>
      <c r="C79" s="4" t="s">
        <v>19</v>
      </c>
      <c r="D79" s="4" t="s">
        <v>20</v>
      </c>
      <c r="E79" s="4">
        <v>2</v>
      </c>
      <c r="F79" s="6">
        <v>299</v>
      </c>
      <c r="G79" s="6">
        <f t="shared" si="2"/>
        <v>598</v>
      </c>
    </row>
    <row r="80" spans="1:7" x14ac:dyDescent="0.3">
      <c r="A80" s="4" t="s">
        <v>97</v>
      </c>
      <c r="B80" s="5">
        <v>45818</v>
      </c>
      <c r="C80" s="4" t="s">
        <v>19</v>
      </c>
      <c r="D80" s="4" t="s">
        <v>20</v>
      </c>
      <c r="E80" s="4">
        <v>1</v>
      </c>
      <c r="F80" s="6">
        <v>299</v>
      </c>
      <c r="G80" s="6">
        <f t="shared" si="2"/>
        <v>299</v>
      </c>
    </row>
    <row r="81" spans="1:7" x14ac:dyDescent="0.3">
      <c r="A81" s="4" t="s">
        <v>98</v>
      </c>
      <c r="B81" s="5">
        <v>45820</v>
      </c>
      <c r="C81" s="4" t="s">
        <v>19</v>
      </c>
      <c r="D81" s="4" t="s">
        <v>20</v>
      </c>
      <c r="E81" s="4">
        <v>6</v>
      </c>
      <c r="F81" s="6">
        <v>299</v>
      </c>
      <c r="G81" s="6">
        <f t="shared" si="2"/>
        <v>1794</v>
      </c>
    </row>
    <row r="82" spans="1:7" x14ac:dyDescent="0.3">
      <c r="A82" s="4" t="s">
        <v>99</v>
      </c>
      <c r="B82" s="5">
        <v>45823</v>
      </c>
      <c r="C82" s="4" t="s">
        <v>16</v>
      </c>
      <c r="D82" s="4" t="s">
        <v>14</v>
      </c>
      <c r="E82" s="4">
        <v>3</v>
      </c>
      <c r="F82" s="6">
        <v>799</v>
      </c>
      <c r="G82" s="6">
        <f t="shared" si="2"/>
        <v>2397</v>
      </c>
    </row>
    <row r="83" spans="1:7" x14ac:dyDescent="0.3">
      <c r="A83" s="4" t="s">
        <v>100</v>
      </c>
      <c r="B83" s="5">
        <v>45825</v>
      </c>
      <c r="C83" s="4" t="s">
        <v>16</v>
      </c>
      <c r="D83" s="4" t="s">
        <v>14</v>
      </c>
      <c r="E83" s="4">
        <v>4</v>
      </c>
      <c r="F83" s="6">
        <v>799</v>
      </c>
      <c r="G83" s="6">
        <f t="shared" si="2"/>
        <v>3196</v>
      </c>
    </row>
    <row r="84" spans="1:7" x14ac:dyDescent="0.3">
      <c r="A84" s="4" t="s">
        <v>101</v>
      </c>
      <c r="B84" s="5">
        <v>45826</v>
      </c>
      <c r="C84" s="4" t="s">
        <v>13</v>
      </c>
      <c r="D84" s="4" t="s">
        <v>14</v>
      </c>
      <c r="E84" s="4">
        <v>6</v>
      </c>
      <c r="F84" s="6">
        <v>1499</v>
      </c>
      <c r="G84" s="6">
        <f t="shared" si="2"/>
        <v>8994</v>
      </c>
    </row>
    <row r="85" spans="1:7" x14ac:dyDescent="0.3">
      <c r="A85" s="4" t="s">
        <v>102</v>
      </c>
      <c r="B85" s="5">
        <v>45831</v>
      </c>
      <c r="C85" s="4" t="s">
        <v>13</v>
      </c>
      <c r="D85" s="4" t="s">
        <v>14</v>
      </c>
      <c r="E85" s="4">
        <v>2</v>
      </c>
      <c r="F85" s="6">
        <v>1499</v>
      </c>
      <c r="G85" s="6">
        <f t="shared" si="2"/>
        <v>2998</v>
      </c>
    </row>
    <row r="86" spans="1:7" x14ac:dyDescent="0.3">
      <c r="A86" s="4" t="s">
        <v>103</v>
      </c>
      <c r="B86" s="5">
        <v>45831</v>
      </c>
      <c r="C86" s="4" t="s">
        <v>16</v>
      </c>
      <c r="D86" s="4" t="s">
        <v>14</v>
      </c>
      <c r="E86" s="4">
        <v>1</v>
      </c>
      <c r="F86" s="6">
        <v>799</v>
      </c>
      <c r="G86" s="6">
        <f t="shared" si="2"/>
        <v>799</v>
      </c>
    </row>
    <row r="87" spans="1:7" x14ac:dyDescent="0.3">
      <c r="A87" s="4" t="s">
        <v>104</v>
      </c>
      <c r="B87" s="5">
        <v>45833</v>
      </c>
      <c r="C87" s="4" t="s">
        <v>19</v>
      </c>
      <c r="D87" s="4" t="s">
        <v>20</v>
      </c>
      <c r="E87" s="4">
        <v>1</v>
      </c>
      <c r="F87" s="6">
        <v>299</v>
      </c>
      <c r="G87" s="6">
        <f t="shared" si="2"/>
        <v>299</v>
      </c>
    </row>
    <row r="88" spans="1:7" x14ac:dyDescent="0.3">
      <c r="A88" s="4" t="s">
        <v>105</v>
      </c>
      <c r="B88" s="5">
        <v>45835</v>
      </c>
      <c r="C88" s="4" t="s">
        <v>16</v>
      </c>
      <c r="D88" s="4" t="s">
        <v>14</v>
      </c>
      <c r="E88" s="4">
        <v>2</v>
      </c>
      <c r="F88" s="6">
        <v>799</v>
      </c>
      <c r="G88" s="6">
        <f t="shared" si="2"/>
        <v>1598</v>
      </c>
    </row>
    <row r="89" spans="1:7" x14ac:dyDescent="0.3">
      <c r="A89" s="4" t="s">
        <v>106</v>
      </c>
      <c r="B89" s="5">
        <v>45835</v>
      </c>
      <c r="C89" s="4" t="s">
        <v>13</v>
      </c>
      <c r="D89" s="4" t="s">
        <v>14</v>
      </c>
      <c r="E89" s="4">
        <v>6</v>
      </c>
      <c r="F89" s="6">
        <v>1499</v>
      </c>
      <c r="G89" s="6">
        <f t="shared" si="2"/>
        <v>8994</v>
      </c>
    </row>
    <row r="90" spans="1:7" x14ac:dyDescent="0.3">
      <c r="A90" s="4" t="s">
        <v>107</v>
      </c>
      <c r="B90" s="5">
        <v>45838</v>
      </c>
      <c r="C90" s="4" t="s">
        <v>16</v>
      </c>
      <c r="D90" s="4" t="s">
        <v>14</v>
      </c>
      <c r="E90" s="4">
        <v>3</v>
      </c>
      <c r="F90" s="6">
        <v>799</v>
      </c>
      <c r="G90" s="6">
        <f t="shared" si="2"/>
        <v>2397</v>
      </c>
    </row>
    <row r="91" spans="1:7" x14ac:dyDescent="0.3">
      <c r="A91" s="4" t="s">
        <v>108</v>
      </c>
      <c r="B91" s="5">
        <v>45838</v>
      </c>
      <c r="C91" s="4" t="s">
        <v>39</v>
      </c>
      <c r="D91" s="4" t="s">
        <v>40</v>
      </c>
      <c r="E91" s="4">
        <v>2</v>
      </c>
      <c r="F91" s="6">
        <v>599</v>
      </c>
      <c r="G91" s="6">
        <f t="shared" si="2"/>
        <v>1198</v>
      </c>
    </row>
    <row r="92" spans="1:7" x14ac:dyDescent="0.3">
      <c r="A92" s="4" t="s">
        <v>109</v>
      </c>
      <c r="B92" s="5">
        <v>45840</v>
      </c>
      <c r="C92" s="4" t="s">
        <v>19</v>
      </c>
      <c r="D92" s="4" t="s">
        <v>20</v>
      </c>
      <c r="E92" s="4">
        <v>1</v>
      </c>
      <c r="F92" s="6">
        <v>299</v>
      </c>
      <c r="G92" s="6">
        <f t="shared" si="2"/>
        <v>299</v>
      </c>
    </row>
    <row r="93" spans="1:7" x14ac:dyDescent="0.3">
      <c r="A93" s="4" t="s">
        <v>110</v>
      </c>
      <c r="B93" s="5">
        <v>45842</v>
      </c>
      <c r="C93" s="4" t="s">
        <v>19</v>
      </c>
      <c r="D93" s="4" t="s">
        <v>20</v>
      </c>
      <c r="E93" s="4">
        <v>3</v>
      </c>
      <c r="F93" s="6">
        <v>299</v>
      </c>
      <c r="G93" s="6">
        <f t="shared" si="2"/>
        <v>897</v>
      </c>
    </row>
    <row r="94" spans="1:7" x14ac:dyDescent="0.3">
      <c r="A94" s="4" t="s">
        <v>111</v>
      </c>
      <c r="B94" s="5">
        <v>45843</v>
      </c>
      <c r="C94" s="4" t="s">
        <v>16</v>
      </c>
      <c r="D94" s="4" t="s">
        <v>14</v>
      </c>
      <c r="E94" s="4">
        <v>2</v>
      </c>
      <c r="F94" s="6">
        <v>799</v>
      </c>
      <c r="G94" s="6">
        <f t="shared" si="2"/>
        <v>1598</v>
      </c>
    </row>
    <row r="95" spans="1:7" x14ac:dyDescent="0.3">
      <c r="A95" s="4" t="s">
        <v>112</v>
      </c>
      <c r="B95" s="5">
        <v>45846</v>
      </c>
      <c r="C95" s="4" t="s">
        <v>39</v>
      </c>
      <c r="D95" s="4" t="s">
        <v>40</v>
      </c>
      <c r="E95" s="4">
        <v>2</v>
      </c>
      <c r="F95" s="6">
        <v>599</v>
      </c>
      <c r="G95" s="6">
        <f t="shared" si="2"/>
        <v>1198</v>
      </c>
    </row>
    <row r="96" spans="1:7" x14ac:dyDescent="0.3">
      <c r="A96" s="4" t="s">
        <v>113</v>
      </c>
      <c r="B96" s="5">
        <v>45847</v>
      </c>
      <c r="C96" s="4" t="s">
        <v>13</v>
      </c>
      <c r="D96" s="4" t="s">
        <v>14</v>
      </c>
      <c r="E96" s="4">
        <v>2</v>
      </c>
      <c r="F96" s="6">
        <v>1499</v>
      </c>
      <c r="G96" s="6">
        <f t="shared" si="2"/>
        <v>2998</v>
      </c>
    </row>
    <row r="97" spans="1:7" x14ac:dyDescent="0.3">
      <c r="A97" s="4" t="s">
        <v>114</v>
      </c>
      <c r="B97" s="5">
        <v>45847</v>
      </c>
      <c r="C97" s="4" t="s">
        <v>16</v>
      </c>
      <c r="D97" s="4" t="s">
        <v>14</v>
      </c>
      <c r="E97" s="4">
        <v>1</v>
      </c>
      <c r="F97" s="6">
        <v>799</v>
      </c>
      <c r="G97" s="6">
        <f t="shared" si="2"/>
        <v>799</v>
      </c>
    </row>
    <row r="98" spans="1:7" x14ac:dyDescent="0.3">
      <c r="A98" s="4" t="s">
        <v>115</v>
      </c>
      <c r="B98" s="5">
        <v>45847</v>
      </c>
      <c r="C98" s="4" t="s">
        <v>16</v>
      </c>
      <c r="D98" s="4" t="s">
        <v>14</v>
      </c>
      <c r="E98" s="4">
        <v>2</v>
      </c>
      <c r="F98" s="6">
        <v>799</v>
      </c>
      <c r="G98" s="6">
        <f t="shared" ref="G98:G129" si="3">E98*F98</f>
        <v>1598</v>
      </c>
    </row>
    <row r="99" spans="1:7" x14ac:dyDescent="0.3">
      <c r="A99" s="4" t="s">
        <v>116</v>
      </c>
      <c r="B99" s="5">
        <v>45852</v>
      </c>
      <c r="C99" s="4" t="s">
        <v>16</v>
      </c>
      <c r="D99" s="4" t="s">
        <v>14</v>
      </c>
      <c r="E99" s="4">
        <v>1</v>
      </c>
      <c r="F99" s="6">
        <v>799</v>
      </c>
      <c r="G99" s="6">
        <f t="shared" si="3"/>
        <v>799</v>
      </c>
    </row>
    <row r="100" spans="1:7" x14ac:dyDescent="0.3">
      <c r="A100" s="4" t="s">
        <v>117</v>
      </c>
      <c r="B100" s="5">
        <v>45860</v>
      </c>
      <c r="C100" s="4" t="s">
        <v>19</v>
      </c>
      <c r="D100" s="4" t="s">
        <v>20</v>
      </c>
      <c r="E100" s="4">
        <v>1</v>
      </c>
      <c r="F100" s="6">
        <v>299</v>
      </c>
      <c r="G100" s="6">
        <f t="shared" si="3"/>
        <v>299</v>
      </c>
    </row>
    <row r="101" spans="1:7" x14ac:dyDescent="0.3">
      <c r="A101" s="4" t="s">
        <v>118</v>
      </c>
      <c r="B101" s="5">
        <v>45865</v>
      </c>
      <c r="C101" s="4" t="s">
        <v>39</v>
      </c>
      <c r="D101" s="4" t="s">
        <v>40</v>
      </c>
      <c r="E101" s="4">
        <v>5</v>
      </c>
      <c r="F101" s="6">
        <v>599</v>
      </c>
      <c r="G101" s="6">
        <f t="shared" si="3"/>
        <v>2995</v>
      </c>
    </row>
    <row r="102" spans="1:7" x14ac:dyDescent="0.3">
      <c r="A102" s="4" t="s">
        <v>119</v>
      </c>
      <c r="B102" s="5">
        <v>45865</v>
      </c>
      <c r="C102" s="4" t="s">
        <v>19</v>
      </c>
      <c r="D102" s="4" t="s">
        <v>20</v>
      </c>
      <c r="E102" s="4">
        <v>1</v>
      </c>
      <c r="F102" s="6">
        <v>299</v>
      </c>
      <c r="G102" s="6">
        <f t="shared" si="3"/>
        <v>299</v>
      </c>
    </row>
    <row r="103" spans="1:7" x14ac:dyDescent="0.3">
      <c r="A103" s="4" t="s">
        <v>120</v>
      </c>
      <c r="B103" s="5">
        <v>45868</v>
      </c>
      <c r="C103" s="4" t="s">
        <v>16</v>
      </c>
      <c r="D103" s="4" t="s">
        <v>14</v>
      </c>
      <c r="E103" s="4">
        <v>4</v>
      </c>
      <c r="F103" s="6">
        <v>799</v>
      </c>
      <c r="G103" s="6">
        <f t="shared" si="3"/>
        <v>3196</v>
      </c>
    </row>
    <row r="104" spans="1:7" x14ac:dyDescent="0.3">
      <c r="A104" s="4" t="s">
        <v>121</v>
      </c>
      <c r="B104" s="5">
        <v>45871</v>
      </c>
      <c r="C104" s="4" t="s">
        <v>16</v>
      </c>
      <c r="D104" s="4" t="s">
        <v>14</v>
      </c>
      <c r="E104" s="4">
        <v>2</v>
      </c>
      <c r="F104" s="6">
        <v>799</v>
      </c>
      <c r="G104" s="6">
        <f t="shared" si="3"/>
        <v>1598</v>
      </c>
    </row>
    <row r="105" spans="1:7" x14ac:dyDescent="0.3">
      <c r="A105" s="4" t="s">
        <v>122</v>
      </c>
      <c r="B105" s="5">
        <v>45873</v>
      </c>
      <c r="C105" s="4" t="s">
        <v>19</v>
      </c>
      <c r="D105" s="4" t="s">
        <v>20</v>
      </c>
      <c r="E105" s="4">
        <v>1</v>
      </c>
      <c r="F105" s="6">
        <v>299</v>
      </c>
      <c r="G105" s="6">
        <f t="shared" si="3"/>
        <v>299</v>
      </c>
    </row>
    <row r="106" spans="1:7" x14ac:dyDescent="0.3">
      <c r="A106" s="4" t="s">
        <v>123</v>
      </c>
      <c r="B106" s="5">
        <v>45873</v>
      </c>
      <c r="C106" s="4" t="s">
        <v>19</v>
      </c>
      <c r="D106" s="4" t="s">
        <v>20</v>
      </c>
      <c r="E106" s="4">
        <v>2</v>
      </c>
      <c r="F106" s="6">
        <v>299</v>
      </c>
      <c r="G106" s="6">
        <f t="shared" si="3"/>
        <v>598</v>
      </c>
    </row>
    <row r="107" spans="1:7" x14ac:dyDescent="0.3">
      <c r="A107" s="4" t="s">
        <v>124</v>
      </c>
      <c r="B107" s="5">
        <v>45874</v>
      </c>
      <c r="C107" s="4" t="s">
        <v>16</v>
      </c>
      <c r="D107" s="4" t="s">
        <v>14</v>
      </c>
      <c r="E107" s="4">
        <v>2</v>
      </c>
      <c r="F107" s="6">
        <v>799</v>
      </c>
      <c r="G107" s="6">
        <f t="shared" si="3"/>
        <v>1598</v>
      </c>
    </row>
    <row r="108" spans="1:7" x14ac:dyDescent="0.3">
      <c r="A108" s="4" t="s">
        <v>125</v>
      </c>
      <c r="B108" s="5">
        <v>45874</v>
      </c>
      <c r="C108" s="4" t="s">
        <v>19</v>
      </c>
      <c r="D108" s="4" t="s">
        <v>20</v>
      </c>
      <c r="E108" s="4">
        <v>3</v>
      </c>
      <c r="F108" s="6">
        <v>299</v>
      </c>
      <c r="G108" s="6">
        <f t="shared" si="3"/>
        <v>897</v>
      </c>
    </row>
    <row r="109" spans="1:7" x14ac:dyDescent="0.3">
      <c r="A109" s="4" t="s">
        <v>126</v>
      </c>
      <c r="B109" s="5">
        <v>45876</v>
      </c>
      <c r="C109" s="4" t="s">
        <v>16</v>
      </c>
      <c r="D109" s="4" t="s">
        <v>14</v>
      </c>
      <c r="E109" s="4">
        <v>1</v>
      </c>
      <c r="F109" s="6">
        <v>799</v>
      </c>
      <c r="G109" s="6">
        <f t="shared" si="3"/>
        <v>799</v>
      </c>
    </row>
    <row r="110" spans="1:7" x14ac:dyDescent="0.3">
      <c r="A110" s="4" t="s">
        <v>127</v>
      </c>
      <c r="B110" s="5">
        <v>45887</v>
      </c>
      <c r="C110" s="4" t="s">
        <v>16</v>
      </c>
      <c r="D110" s="4" t="s">
        <v>14</v>
      </c>
      <c r="E110" s="4">
        <v>4</v>
      </c>
      <c r="F110" s="6">
        <v>799</v>
      </c>
      <c r="G110" s="6">
        <f t="shared" si="3"/>
        <v>3196</v>
      </c>
    </row>
    <row r="111" spans="1:7" x14ac:dyDescent="0.3">
      <c r="A111" s="4" t="s">
        <v>128</v>
      </c>
      <c r="B111" s="5">
        <v>45887</v>
      </c>
      <c r="C111" s="4" t="s">
        <v>16</v>
      </c>
      <c r="D111" s="4" t="s">
        <v>14</v>
      </c>
      <c r="E111" s="4">
        <v>2</v>
      </c>
      <c r="F111" s="6">
        <v>799</v>
      </c>
      <c r="G111" s="6">
        <f t="shared" si="3"/>
        <v>1598</v>
      </c>
    </row>
    <row r="112" spans="1:7" x14ac:dyDescent="0.3">
      <c r="A112" s="4" t="s">
        <v>129</v>
      </c>
      <c r="B112" s="5">
        <v>45888</v>
      </c>
      <c r="C112" s="4" t="s">
        <v>13</v>
      </c>
      <c r="D112" s="4" t="s">
        <v>14</v>
      </c>
      <c r="E112" s="4">
        <v>1</v>
      </c>
      <c r="F112" s="6">
        <v>1499</v>
      </c>
      <c r="G112" s="6">
        <f t="shared" si="3"/>
        <v>1499</v>
      </c>
    </row>
    <row r="113" spans="1:7" x14ac:dyDescent="0.3">
      <c r="A113" s="4" t="s">
        <v>130</v>
      </c>
      <c r="B113" s="5">
        <v>45889</v>
      </c>
      <c r="C113" s="4" t="s">
        <v>16</v>
      </c>
      <c r="D113" s="4" t="s">
        <v>14</v>
      </c>
      <c r="E113" s="4">
        <v>1</v>
      </c>
      <c r="F113" s="6">
        <v>799</v>
      </c>
      <c r="G113" s="6">
        <f t="shared" si="3"/>
        <v>799</v>
      </c>
    </row>
    <row r="114" spans="1:7" x14ac:dyDescent="0.3">
      <c r="A114" s="4" t="s">
        <v>131</v>
      </c>
      <c r="B114" s="5">
        <v>45891</v>
      </c>
      <c r="C114" s="4" t="s">
        <v>16</v>
      </c>
      <c r="D114" s="4" t="s">
        <v>14</v>
      </c>
      <c r="E114" s="4">
        <v>1</v>
      </c>
      <c r="F114" s="6">
        <v>799</v>
      </c>
      <c r="G114" s="6">
        <f t="shared" si="3"/>
        <v>799</v>
      </c>
    </row>
    <row r="115" spans="1:7" x14ac:dyDescent="0.3">
      <c r="A115" s="4" t="s">
        <v>132</v>
      </c>
      <c r="B115" s="5">
        <v>45891</v>
      </c>
      <c r="C115" s="4" t="s">
        <v>19</v>
      </c>
      <c r="D115" s="4" t="s">
        <v>20</v>
      </c>
      <c r="E115" s="4">
        <v>4</v>
      </c>
      <c r="F115" s="6">
        <v>299</v>
      </c>
      <c r="G115" s="6">
        <f t="shared" si="3"/>
        <v>1196</v>
      </c>
    </row>
    <row r="116" spans="1:7" x14ac:dyDescent="0.3">
      <c r="A116" s="4" t="s">
        <v>133</v>
      </c>
      <c r="B116" s="5">
        <v>45894</v>
      </c>
      <c r="C116" s="4" t="s">
        <v>16</v>
      </c>
      <c r="D116" s="4" t="s">
        <v>14</v>
      </c>
      <c r="E116" s="4">
        <v>3</v>
      </c>
      <c r="F116" s="6">
        <v>799</v>
      </c>
      <c r="G116" s="6">
        <f t="shared" si="3"/>
        <v>2397</v>
      </c>
    </row>
    <row r="117" spans="1:7" x14ac:dyDescent="0.3">
      <c r="A117" s="4" t="s">
        <v>134</v>
      </c>
      <c r="B117" s="5">
        <v>45900</v>
      </c>
      <c r="C117" s="4" t="s">
        <v>19</v>
      </c>
      <c r="D117" s="4" t="s">
        <v>20</v>
      </c>
      <c r="E117" s="4">
        <v>2</v>
      </c>
      <c r="F117" s="6">
        <v>299</v>
      </c>
      <c r="G117" s="6">
        <f t="shared" si="3"/>
        <v>598</v>
      </c>
    </row>
    <row r="118" spans="1:7" x14ac:dyDescent="0.3">
      <c r="A118" s="4" t="s">
        <v>135</v>
      </c>
      <c r="B118" s="5">
        <v>45904</v>
      </c>
      <c r="C118" s="4" t="s">
        <v>19</v>
      </c>
      <c r="D118" s="4" t="s">
        <v>20</v>
      </c>
      <c r="E118" s="4">
        <v>1</v>
      </c>
      <c r="F118" s="6">
        <v>299</v>
      </c>
      <c r="G118" s="6">
        <f t="shared" si="3"/>
        <v>299</v>
      </c>
    </row>
    <row r="119" spans="1:7" x14ac:dyDescent="0.3">
      <c r="A119" s="4" t="s">
        <v>136</v>
      </c>
      <c r="B119" s="5">
        <v>45904</v>
      </c>
      <c r="C119" s="4" t="s">
        <v>19</v>
      </c>
      <c r="D119" s="4" t="s">
        <v>20</v>
      </c>
      <c r="E119" s="4">
        <v>2</v>
      </c>
      <c r="F119" s="6">
        <v>299</v>
      </c>
      <c r="G119" s="6">
        <f t="shared" si="3"/>
        <v>598</v>
      </c>
    </row>
    <row r="120" spans="1:7" x14ac:dyDescent="0.3">
      <c r="A120" s="4" t="s">
        <v>137</v>
      </c>
      <c r="B120" s="5">
        <v>45905</v>
      </c>
      <c r="C120" s="4" t="s">
        <v>19</v>
      </c>
      <c r="D120" s="4" t="s">
        <v>20</v>
      </c>
      <c r="E120" s="4">
        <v>3</v>
      </c>
      <c r="F120" s="6">
        <v>299</v>
      </c>
      <c r="G120" s="6">
        <f t="shared" si="3"/>
        <v>897</v>
      </c>
    </row>
    <row r="121" spans="1:7" x14ac:dyDescent="0.3">
      <c r="A121" s="4" t="s">
        <v>138</v>
      </c>
      <c r="B121" s="5">
        <v>45906</v>
      </c>
      <c r="C121" s="4" t="s">
        <v>16</v>
      </c>
      <c r="D121" s="4" t="s">
        <v>14</v>
      </c>
      <c r="E121" s="4">
        <v>4</v>
      </c>
      <c r="F121" s="6">
        <v>799</v>
      </c>
      <c r="G121" s="6">
        <f t="shared" si="3"/>
        <v>3196</v>
      </c>
    </row>
    <row r="122" spans="1:7" x14ac:dyDescent="0.3">
      <c r="A122" s="4" t="s">
        <v>139</v>
      </c>
      <c r="B122" s="5">
        <v>45911</v>
      </c>
      <c r="C122" s="4" t="s">
        <v>19</v>
      </c>
      <c r="D122" s="4" t="s">
        <v>20</v>
      </c>
      <c r="E122" s="4">
        <v>3</v>
      </c>
      <c r="F122" s="6">
        <v>299</v>
      </c>
      <c r="G122" s="6">
        <f t="shared" si="3"/>
        <v>897</v>
      </c>
    </row>
    <row r="123" spans="1:7" x14ac:dyDescent="0.3">
      <c r="A123" s="4" t="s">
        <v>140</v>
      </c>
      <c r="B123" s="5">
        <v>45912</v>
      </c>
      <c r="C123" s="4" t="s">
        <v>39</v>
      </c>
      <c r="D123" s="4" t="s">
        <v>40</v>
      </c>
      <c r="E123" s="4">
        <v>3</v>
      </c>
      <c r="F123" s="6">
        <v>599</v>
      </c>
      <c r="G123" s="6">
        <f t="shared" si="3"/>
        <v>1797</v>
      </c>
    </row>
    <row r="124" spans="1:7" x14ac:dyDescent="0.3">
      <c r="A124" s="4" t="s">
        <v>141</v>
      </c>
      <c r="B124" s="5">
        <v>45913</v>
      </c>
      <c r="C124" s="4" t="s">
        <v>16</v>
      </c>
      <c r="D124" s="4" t="s">
        <v>14</v>
      </c>
      <c r="E124" s="4">
        <v>1</v>
      </c>
      <c r="F124" s="6">
        <v>799</v>
      </c>
      <c r="G124" s="6">
        <f t="shared" si="3"/>
        <v>799</v>
      </c>
    </row>
    <row r="125" spans="1:7" x14ac:dyDescent="0.3">
      <c r="A125" s="4" t="s">
        <v>142</v>
      </c>
      <c r="B125" s="5">
        <v>45914</v>
      </c>
      <c r="C125" s="4" t="s">
        <v>16</v>
      </c>
      <c r="D125" s="4" t="s">
        <v>14</v>
      </c>
      <c r="E125" s="4">
        <v>2</v>
      </c>
      <c r="F125" s="6">
        <v>799</v>
      </c>
      <c r="G125" s="6">
        <f t="shared" si="3"/>
        <v>1598</v>
      </c>
    </row>
    <row r="126" spans="1:7" x14ac:dyDescent="0.3">
      <c r="A126" s="4" t="s">
        <v>143</v>
      </c>
      <c r="B126" s="5">
        <v>45915</v>
      </c>
      <c r="C126" s="4" t="s">
        <v>39</v>
      </c>
      <c r="D126" s="4" t="s">
        <v>40</v>
      </c>
      <c r="E126" s="4">
        <v>1</v>
      </c>
      <c r="F126" s="6">
        <v>599</v>
      </c>
      <c r="G126" s="6">
        <f t="shared" si="3"/>
        <v>599</v>
      </c>
    </row>
    <row r="127" spans="1:7" x14ac:dyDescent="0.3">
      <c r="A127" s="4" t="s">
        <v>144</v>
      </c>
      <c r="B127" s="5">
        <v>45915</v>
      </c>
      <c r="C127" s="4" t="s">
        <v>19</v>
      </c>
      <c r="D127" s="4" t="s">
        <v>20</v>
      </c>
      <c r="E127" s="4">
        <v>3</v>
      </c>
      <c r="F127" s="6">
        <v>299</v>
      </c>
      <c r="G127" s="6">
        <f t="shared" si="3"/>
        <v>897</v>
      </c>
    </row>
    <row r="128" spans="1:7" x14ac:dyDescent="0.3">
      <c r="A128" s="4" t="s">
        <v>145</v>
      </c>
      <c r="B128" s="5">
        <v>45916</v>
      </c>
      <c r="C128" s="4" t="s">
        <v>13</v>
      </c>
      <c r="D128" s="4" t="s">
        <v>14</v>
      </c>
      <c r="E128" s="4">
        <v>1</v>
      </c>
      <c r="F128" s="6">
        <v>1499</v>
      </c>
      <c r="G128" s="6">
        <f t="shared" si="3"/>
        <v>1499</v>
      </c>
    </row>
    <row r="129" spans="1:7" x14ac:dyDescent="0.3">
      <c r="A129" s="4" t="s">
        <v>146</v>
      </c>
      <c r="B129" s="5">
        <v>45917</v>
      </c>
      <c r="C129" s="4" t="s">
        <v>19</v>
      </c>
      <c r="D129" s="4" t="s">
        <v>20</v>
      </c>
      <c r="E129" s="4">
        <v>2</v>
      </c>
      <c r="F129" s="6">
        <v>299</v>
      </c>
      <c r="G129" s="6">
        <f t="shared" si="3"/>
        <v>598</v>
      </c>
    </row>
    <row r="130" spans="1:7" x14ac:dyDescent="0.3">
      <c r="A130" s="4" t="s">
        <v>147</v>
      </c>
      <c r="B130" s="5">
        <v>45920</v>
      </c>
      <c r="C130" s="4" t="s">
        <v>19</v>
      </c>
      <c r="D130" s="4" t="s">
        <v>20</v>
      </c>
      <c r="E130" s="4">
        <v>3</v>
      </c>
      <c r="F130" s="6">
        <v>299</v>
      </c>
      <c r="G130" s="6">
        <f t="shared" ref="G130:G161" si="4">E130*F130</f>
        <v>897</v>
      </c>
    </row>
    <row r="131" spans="1:7" x14ac:dyDescent="0.3">
      <c r="A131" s="4" t="s">
        <v>148</v>
      </c>
      <c r="B131" s="5">
        <v>45921</v>
      </c>
      <c r="C131" s="4" t="s">
        <v>13</v>
      </c>
      <c r="D131" s="4" t="s">
        <v>14</v>
      </c>
      <c r="E131" s="4">
        <v>2</v>
      </c>
      <c r="F131" s="6">
        <v>1499</v>
      </c>
      <c r="G131" s="6">
        <f t="shared" si="4"/>
        <v>2998</v>
      </c>
    </row>
    <row r="132" spans="1:7" x14ac:dyDescent="0.3">
      <c r="A132" s="4" t="s">
        <v>149</v>
      </c>
      <c r="B132" s="5">
        <v>45925</v>
      </c>
      <c r="C132" s="4" t="s">
        <v>16</v>
      </c>
      <c r="D132" s="4" t="s">
        <v>14</v>
      </c>
      <c r="E132" s="4">
        <v>3</v>
      </c>
      <c r="F132" s="6">
        <v>799</v>
      </c>
      <c r="G132" s="6">
        <f t="shared" si="4"/>
        <v>2397</v>
      </c>
    </row>
    <row r="133" spans="1:7" x14ac:dyDescent="0.3">
      <c r="A133" s="4" t="s">
        <v>150</v>
      </c>
      <c r="B133" s="5">
        <v>45927</v>
      </c>
      <c r="C133" s="4" t="s">
        <v>16</v>
      </c>
      <c r="D133" s="4" t="s">
        <v>14</v>
      </c>
      <c r="E133" s="4">
        <v>2</v>
      </c>
      <c r="F133" s="6">
        <v>799</v>
      </c>
      <c r="G133" s="6">
        <f t="shared" si="4"/>
        <v>1598</v>
      </c>
    </row>
    <row r="134" spans="1:7" x14ac:dyDescent="0.3">
      <c r="A134" s="4" t="s">
        <v>151</v>
      </c>
      <c r="B134" s="5">
        <v>45927</v>
      </c>
      <c r="C134" s="4" t="s">
        <v>16</v>
      </c>
      <c r="D134" s="4" t="s">
        <v>14</v>
      </c>
      <c r="E134" s="4">
        <v>6</v>
      </c>
      <c r="F134" s="6">
        <v>799</v>
      </c>
      <c r="G134" s="6">
        <f t="shared" si="4"/>
        <v>4794</v>
      </c>
    </row>
    <row r="135" spans="1:7" x14ac:dyDescent="0.3">
      <c r="A135" s="4" t="s">
        <v>152</v>
      </c>
      <c r="B135" s="5">
        <v>45930</v>
      </c>
      <c r="C135" s="4" t="s">
        <v>19</v>
      </c>
      <c r="D135" s="4" t="s">
        <v>20</v>
      </c>
      <c r="E135" s="4">
        <v>2</v>
      </c>
      <c r="F135" s="6">
        <v>299</v>
      </c>
      <c r="G135" s="6">
        <f t="shared" si="4"/>
        <v>598</v>
      </c>
    </row>
    <row r="136" spans="1:7" x14ac:dyDescent="0.3">
      <c r="A136" s="4" t="s">
        <v>153</v>
      </c>
      <c r="B136" s="5">
        <v>45934</v>
      </c>
      <c r="C136" s="4" t="s">
        <v>19</v>
      </c>
      <c r="D136" s="4" t="s">
        <v>20</v>
      </c>
      <c r="E136" s="4">
        <v>1</v>
      </c>
      <c r="F136" s="6">
        <v>299</v>
      </c>
      <c r="G136" s="6">
        <f t="shared" si="4"/>
        <v>299</v>
      </c>
    </row>
    <row r="137" spans="1:7" x14ac:dyDescent="0.3">
      <c r="A137" s="4" t="s">
        <v>154</v>
      </c>
      <c r="B137" s="5">
        <v>45934</v>
      </c>
      <c r="C137" s="4" t="s">
        <v>16</v>
      </c>
      <c r="D137" s="4" t="s">
        <v>14</v>
      </c>
      <c r="E137" s="4">
        <v>3</v>
      </c>
      <c r="F137" s="6">
        <v>799</v>
      </c>
      <c r="G137" s="6">
        <f t="shared" si="4"/>
        <v>2397</v>
      </c>
    </row>
    <row r="138" spans="1:7" x14ac:dyDescent="0.3">
      <c r="A138" s="4" t="s">
        <v>155</v>
      </c>
      <c r="B138" s="5">
        <v>45935</v>
      </c>
      <c r="C138" s="4" t="s">
        <v>19</v>
      </c>
      <c r="D138" s="4" t="s">
        <v>20</v>
      </c>
      <c r="E138" s="4">
        <v>1</v>
      </c>
      <c r="F138" s="6">
        <v>299</v>
      </c>
      <c r="G138" s="6">
        <f t="shared" si="4"/>
        <v>299</v>
      </c>
    </row>
    <row r="139" spans="1:7" x14ac:dyDescent="0.3">
      <c r="A139" s="4" t="s">
        <v>156</v>
      </c>
      <c r="B139" s="5">
        <v>45936</v>
      </c>
      <c r="C139" s="4" t="s">
        <v>16</v>
      </c>
      <c r="D139" s="4" t="s">
        <v>14</v>
      </c>
      <c r="E139" s="4">
        <v>3</v>
      </c>
      <c r="F139" s="6">
        <v>799</v>
      </c>
      <c r="G139" s="6">
        <f t="shared" si="4"/>
        <v>2397</v>
      </c>
    </row>
    <row r="140" spans="1:7" x14ac:dyDescent="0.3">
      <c r="A140" s="4" t="s">
        <v>157</v>
      </c>
      <c r="B140" s="5">
        <v>45936</v>
      </c>
      <c r="C140" s="4" t="s">
        <v>19</v>
      </c>
      <c r="D140" s="4" t="s">
        <v>20</v>
      </c>
      <c r="E140" s="4">
        <v>1</v>
      </c>
      <c r="F140" s="6">
        <v>299</v>
      </c>
      <c r="G140" s="6">
        <f t="shared" si="4"/>
        <v>299</v>
      </c>
    </row>
    <row r="141" spans="1:7" x14ac:dyDescent="0.3">
      <c r="A141" s="4" t="s">
        <v>158</v>
      </c>
      <c r="B141" s="5">
        <v>45937</v>
      </c>
      <c r="C141" s="4" t="s">
        <v>16</v>
      </c>
      <c r="D141" s="4" t="s">
        <v>14</v>
      </c>
      <c r="E141" s="4">
        <v>3</v>
      </c>
      <c r="F141" s="6">
        <v>799</v>
      </c>
      <c r="G141" s="6">
        <f t="shared" si="4"/>
        <v>2397</v>
      </c>
    </row>
    <row r="142" spans="1:7" x14ac:dyDescent="0.3">
      <c r="A142" s="4" t="s">
        <v>159</v>
      </c>
      <c r="B142" s="5">
        <v>45940</v>
      </c>
      <c r="C142" s="4" t="s">
        <v>19</v>
      </c>
      <c r="D142" s="4" t="s">
        <v>20</v>
      </c>
      <c r="E142" s="4">
        <v>2</v>
      </c>
      <c r="F142" s="6">
        <v>299</v>
      </c>
      <c r="G142" s="6">
        <f t="shared" si="4"/>
        <v>598</v>
      </c>
    </row>
    <row r="143" spans="1:7" x14ac:dyDescent="0.3">
      <c r="A143" s="4" t="s">
        <v>160</v>
      </c>
      <c r="B143" s="5">
        <v>45941</v>
      </c>
      <c r="C143" s="4" t="s">
        <v>16</v>
      </c>
      <c r="D143" s="4" t="s">
        <v>14</v>
      </c>
      <c r="E143" s="4">
        <v>2</v>
      </c>
      <c r="F143" s="6">
        <v>799</v>
      </c>
      <c r="G143" s="6">
        <f t="shared" si="4"/>
        <v>1598</v>
      </c>
    </row>
    <row r="144" spans="1:7" x14ac:dyDescent="0.3">
      <c r="A144" s="4" t="s">
        <v>161</v>
      </c>
      <c r="B144" s="5">
        <v>45943</v>
      </c>
      <c r="C144" s="4" t="s">
        <v>16</v>
      </c>
      <c r="D144" s="4" t="s">
        <v>14</v>
      </c>
      <c r="E144" s="4">
        <v>2</v>
      </c>
      <c r="F144" s="6">
        <v>799</v>
      </c>
      <c r="G144" s="6">
        <f t="shared" si="4"/>
        <v>1598</v>
      </c>
    </row>
    <row r="145" spans="1:7" x14ac:dyDescent="0.3">
      <c r="A145" s="4" t="s">
        <v>162</v>
      </c>
      <c r="B145" s="5">
        <v>45944</v>
      </c>
      <c r="C145" s="4" t="s">
        <v>16</v>
      </c>
      <c r="D145" s="4" t="s">
        <v>14</v>
      </c>
      <c r="E145" s="4">
        <v>3</v>
      </c>
      <c r="F145" s="6">
        <v>799</v>
      </c>
      <c r="G145" s="6">
        <f t="shared" si="4"/>
        <v>2397</v>
      </c>
    </row>
    <row r="146" spans="1:7" x14ac:dyDescent="0.3">
      <c r="A146" s="4" t="s">
        <v>163</v>
      </c>
      <c r="B146" s="5">
        <v>45946</v>
      </c>
      <c r="C146" s="4" t="s">
        <v>19</v>
      </c>
      <c r="D146" s="4" t="s">
        <v>20</v>
      </c>
      <c r="E146" s="4">
        <v>2</v>
      </c>
      <c r="F146" s="6">
        <v>299</v>
      </c>
      <c r="G146" s="6">
        <f t="shared" si="4"/>
        <v>598</v>
      </c>
    </row>
    <row r="147" spans="1:7" x14ac:dyDescent="0.3">
      <c r="A147" s="4" t="s">
        <v>164</v>
      </c>
      <c r="B147" s="5">
        <v>45947</v>
      </c>
      <c r="C147" s="4" t="s">
        <v>16</v>
      </c>
      <c r="D147" s="4" t="s">
        <v>14</v>
      </c>
      <c r="E147" s="4">
        <v>2</v>
      </c>
      <c r="F147" s="6">
        <v>799</v>
      </c>
      <c r="G147" s="6">
        <f t="shared" si="4"/>
        <v>1598</v>
      </c>
    </row>
    <row r="148" spans="1:7" x14ac:dyDescent="0.3">
      <c r="A148" s="4" t="s">
        <v>165</v>
      </c>
      <c r="B148" s="5">
        <v>45951</v>
      </c>
      <c r="C148" s="4" t="s">
        <v>16</v>
      </c>
      <c r="D148" s="4" t="s">
        <v>14</v>
      </c>
      <c r="E148" s="4">
        <v>3</v>
      </c>
      <c r="F148" s="6">
        <v>799</v>
      </c>
      <c r="G148" s="6">
        <f t="shared" si="4"/>
        <v>2397</v>
      </c>
    </row>
    <row r="149" spans="1:7" x14ac:dyDescent="0.3">
      <c r="A149" s="4" t="s">
        <v>166</v>
      </c>
      <c r="B149" s="5">
        <v>45953</v>
      </c>
      <c r="C149" s="4" t="s">
        <v>39</v>
      </c>
      <c r="D149" s="4" t="s">
        <v>40</v>
      </c>
      <c r="E149" s="4">
        <v>4</v>
      </c>
      <c r="F149" s="6">
        <v>599</v>
      </c>
      <c r="G149" s="6">
        <f t="shared" si="4"/>
        <v>2396</v>
      </c>
    </row>
    <row r="150" spans="1:7" x14ac:dyDescent="0.3">
      <c r="A150" s="4" t="s">
        <v>167</v>
      </c>
      <c r="B150" s="5">
        <v>45954</v>
      </c>
      <c r="C150" s="4" t="s">
        <v>19</v>
      </c>
      <c r="D150" s="4" t="s">
        <v>20</v>
      </c>
      <c r="E150" s="4">
        <v>1</v>
      </c>
      <c r="F150" s="6">
        <v>299</v>
      </c>
      <c r="G150" s="6">
        <f t="shared" si="4"/>
        <v>299</v>
      </c>
    </row>
    <row r="151" spans="1:7" x14ac:dyDescent="0.3">
      <c r="A151" s="4" t="s">
        <v>168</v>
      </c>
      <c r="B151" s="5">
        <v>45955</v>
      </c>
      <c r="C151" s="4" t="s">
        <v>16</v>
      </c>
      <c r="D151" s="4" t="s">
        <v>14</v>
      </c>
      <c r="E151" s="4">
        <v>1</v>
      </c>
      <c r="F151" s="6">
        <v>799</v>
      </c>
      <c r="G151" s="6">
        <f t="shared" si="4"/>
        <v>799</v>
      </c>
    </row>
    <row r="152" spans="1:7" x14ac:dyDescent="0.3">
      <c r="A152" s="4" t="s">
        <v>169</v>
      </c>
      <c r="B152" s="5">
        <v>45956</v>
      </c>
      <c r="C152" s="4" t="s">
        <v>16</v>
      </c>
      <c r="D152" s="4" t="s">
        <v>14</v>
      </c>
      <c r="E152" s="4">
        <v>4</v>
      </c>
      <c r="F152" s="6">
        <v>799</v>
      </c>
      <c r="G152" s="6">
        <f t="shared" si="4"/>
        <v>3196</v>
      </c>
    </row>
    <row r="153" spans="1:7" x14ac:dyDescent="0.3">
      <c r="A153" s="4" t="s">
        <v>170</v>
      </c>
      <c r="B153" s="5">
        <v>45956</v>
      </c>
      <c r="C153" s="4" t="s">
        <v>39</v>
      </c>
      <c r="D153" s="4" t="s">
        <v>40</v>
      </c>
      <c r="E153" s="4">
        <v>1</v>
      </c>
      <c r="F153" s="6">
        <v>599</v>
      </c>
      <c r="G153" s="6">
        <f t="shared" si="4"/>
        <v>599</v>
      </c>
    </row>
    <row r="154" spans="1:7" x14ac:dyDescent="0.3">
      <c r="A154" s="4" t="s">
        <v>171</v>
      </c>
      <c r="B154" s="5">
        <v>45957</v>
      </c>
      <c r="C154" s="4" t="s">
        <v>19</v>
      </c>
      <c r="D154" s="4" t="s">
        <v>20</v>
      </c>
      <c r="E154" s="4">
        <v>2</v>
      </c>
      <c r="F154" s="6">
        <v>299</v>
      </c>
      <c r="G154" s="6">
        <f t="shared" si="4"/>
        <v>598</v>
      </c>
    </row>
    <row r="155" spans="1:7" x14ac:dyDescent="0.3">
      <c r="A155" s="4" t="s">
        <v>172</v>
      </c>
      <c r="B155" s="5">
        <v>45960</v>
      </c>
      <c r="C155" s="4" t="s">
        <v>39</v>
      </c>
      <c r="D155" s="4" t="s">
        <v>40</v>
      </c>
      <c r="E155" s="4">
        <v>1</v>
      </c>
      <c r="F155" s="6">
        <v>599</v>
      </c>
      <c r="G155" s="6">
        <f t="shared" si="4"/>
        <v>599</v>
      </c>
    </row>
    <row r="156" spans="1:7" x14ac:dyDescent="0.3">
      <c r="A156" s="4" t="s">
        <v>173</v>
      </c>
      <c r="B156" s="5">
        <v>45964</v>
      </c>
      <c r="C156" s="4" t="s">
        <v>19</v>
      </c>
      <c r="D156" s="4" t="s">
        <v>20</v>
      </c>
      <c r="E156" s="4">
        <v>2</v>
      </c>
      <c r="F156" s="6">
        <v>299</v>
      </c>
      <c r="G156" s="6">
        <f t="shared" si="4"/>
        <v>598</v>
      </c>
    </row>
    <row r="157" spans="1:7" x14ac:dyDescent="0.3">
      <c r="A157" s="4" t="s">
        <v>174</v>
      </c>
      <c r="B157" s="5">
        <v>45965</v>
      </c>
      <c r="C157" s="4" t="s">
        <v>19</v>
      </c>
      <c r="D157" s="4" t="s">
        <v>20</v>
      </c>
      <c r="E157" s="4">
        <v>1</v>
      </c>
      <c r="F157" s="6">
        <v>299</v>
      </c>
      <c r="G157" s="6">
        <f t="shared" si="4"/>
        <v>299</v>
      </c>
    </row>
    <row r="158" spans="1:7" x14ac:dyDescent="0.3">
      <c r="A158" s="4" t="s">
        <v>175</v>
      </c>
      <c r="B158" s="5">
        <v>45965</v>
      </c>
      <c r="C158" s="4" t="s">
        <v>16</v>
      </c>
      <c r="D158" s="4" t="s">
        <v>14</v>
      </c>
      <c r="E158" s="4">
        <v>2</v>
      </c>
      <c r="F158" s="6">
        <v>799</v>
      </c>
      <c r="G158" s="6">
        <f t="shared" si="4"/>
        <v>1598</v>
      </c>
    </row>
    <row r="159" spans="1:7" x14ac:dyDescent="0.3">
      <c r="A159" s="4" t="s">
        <v>176</v>
      </c>
      <c r="B159" s="5">
        <v>45966</v>
      </c>
      <c r="C159" s="4" t="s">
        <v>19</v>
      </c>
      <c r="D159" s="4" t="s">
        <v>20</v>
      </c>
      <c r="E159" s="4">
        <v>1</v>
      </c>
      <c r="F159" s="6">
        <v>299</v>
      </c>
      <c r="G159" s="6">
        <f t="shared" si="4"/>
        <v>299</v>
      </c>
    </row>
    <row r="160" spans="1:7" x14ac:dyDescent="0.3">
      <c r="A160" s="4" t="s">
        <v>177</v>
      </c>
      <c r="B160" s="5">
        <v>45967</v>
      </c>
      <c r="C160" s="4" t="s">
        <v>39</v>
      </c>
      <c r="D160" s="4" t="s">
        <v>40</v>
      </c>
      <c r="E160" s="4">
        <v>1</v>
      </c>
      <c r="F160" s="6">
        <v>599</v>
      </c>
      <c r="G160" s="6">
        <f t="shared" si="4"/>
        <v>599</v>
      </c>
    </row>
    <row r="161" spans="1:7" x14ac:dyDescent="0.3">
      <c r="A161" s="4" t="s">
        <v>178</v>
      </c>
      <c r="B161" s="5">
        <v>45970</v>
      </c>
      <c r="C161" s="4" t="s">
        <v>13</v>
      </c>
      <c r="D161" s="4" t="s">
        <v>14</v>
      </c>
      <c r="E161" s="4">
        <v>5</v>
      </c>
      <c r="F161" s="6">
        <v>1499</v>
      </c>
      <c r="G161" s="6">
        <f t="shared" si="4"/>
        <v>7495</v>
      </c>
    </row>
    <row r="162" spans="1:7" x14ac:dyDescent="0.3">
      <c r="A162" s="4" t="s">
        <v>179</v>
      </c>
      <c r="B162" s="5">
        <v>45971</v>
      </c>
      <c r="C162" s="4" t="s">
        <v>13</v>
      </c>
      <c r="D162" s="4" t="s">
        <v>14</v>
      </c>
      <c r="E162" s="4">
        <v>1</v>
      </c>
      <c r="F162" s="6">
        <v>1499</v>
      </c>
      <c r="G162" s="6">
        <f t="shared" ref="G162:G193" si="5">E162*F162</f>
        <v>1499</v>
      </c>
    </row>
    <row r="163" spans="1:7" x14ac:dyDescent="0.3">
      <c r="A163" s="4" t="s">
        <v>180</v>
      </c>
      <c r="B163" s="5">
        <v>45972</v>
      </c>
      <c r="C163" s="4" t="s">
        <v>13</v>
      </c>
      <c r="D163" s="4" t="s">
        <v>14</v>
      </c>
      <c r="E163" s="4">
        <v>1</v>
      </c>
      <c r="F163" s="6">
        <v>1499</v>
      </c>
      <c r="G163" s="6">
        <f t="shared" si="5"/>
        <v>1499</v>
      </c>
    </row>
    <row r="164" spans="1:7" x14ac:dyDescent="0.3">
      <c r="A164" s="4" t="s">
        <v>181</v>
      </c>
      <c r="B164" s="5">
        <v>45973</v>
      </c>
      <c r="C164" s="4" t="s">
        <v>16</v>
      </c>
      <c r="D164" s="4" t="s">
        <v>14</v>
      </c>
      <c r="E164" s="4">
        <v>3</v>
      </c>
      <c r="F164" s="6">
        <v>799</v>
      </c>
      <c r="G164" s="6">
        <f t="shared" si="5"/>
        <v>2397</v>
      </c>
    </row>
    <row r="165" spans="1:7" x14ac:dyDescent="0.3">
      <c r="A165" s="4" t="s">
        <v>182</v>
      </c>
      <c r="B165" s="5">
        <v>45973</v>
      </c>
      <c r="C165" s="4" t="s">
        <v>19</v>
      </c>
      <c r="D165" s="4" t="s">
        <v>20</v>
      </c>
      <c r="E165" s="4">
        <v>4</v>
      </c>
      <c r="F165" s="6">
        <v>299</v>
      </c>
      <c r="G165" s="6">
        <f t="shared" si="5"/>
        <v>1196</v>
      </c>
    </row>
    <row r="166" spans="1:7" x14ac:dyDescent="0.3">
      <c r="A166" s="4" t="s">
        <v>183</v>
      </c>
      <c r="B166" s="5">
        <v>45975</v>
      </c>
      <c r="C166" s="4" t="s">
        <v>39</v>
      </c>
      <c r="D166" s="4" t="s">
        <v>40</v>
      </c>
      <c r="E166" s="4">
        <v>3</v>
      </c>
      <c r="F166" s="6">
        <v>599</v>
      </c>
      <c r="G166" s="6">
        <f t="shared" si="5"/>
        <v>1797</v>
      </c>
    </row>
    <row r="167" spans="1:7" x14ac:dyDescent="0.3">
      <c r="A167" s="4" t="s">
        <v>184</v>
      </c>
      <c r="B167" s="5">
        <v>45975</v>
      </c>
      <c r="C167" s="4" t="s">
        <v>13</v>
      </c>
      <c r="D167" s="4" t="s">
        <v>14</v>
      </c>
      <c r="E167" s="4">
        <v>3</v>
      </c>
      <c r="F167" s="6">
        <v>1499</v>
      </c>
      <c r="G167" s="6">
        <f t="shared" si="5"/>
        <v>4497</v>
      </c>
    </row>
    <row r="168" spans="1:7" x14ac:dyDescent="0.3">
      <c r="A168" s="4" t="s">
        <v>185</v>
      </c>
      <c r="B168" s="5">
        <v>45976</v>
      </c>
      <c r="C168" s="4" t="s">
        <v>13</v>
      </c>
      <c r="D168" s="4" t="s">
        <v>14</v>
      </c>
      <c r="E168" s="4">
        <v>2</v>
      </c>
      <c r="F168" s="6">
        <v>1499</v>
      </c>
      <c r="G168" s="6">
        <f t="shared" si="5"/>
        <v>2998</v>
      </c>
    </row>
    <row r="169" spans="1:7" x14ac:dyDescent="0.3">
      <c r="A169" s="4" t="s">
        <v>186</v>
      </c>
      <c r="B169" s="5">
        <v>45977</v>
      </c>
      <c r="C169" s="4" t="s">
        <v>39</v>
      </c>
      <c r="D169" s="4" t="s">
        <v>40</v>
      </c>
      <c r="E169" s="4">
        <v>2</v>
      </c>
      <c r="F169" s="6">
        <v>599</v>
      </c>
      <c r="G169" s="6">
        <f t="shared" si="5"/>
        <v>1198</v>
      </c>
    </row>
    <row r="170" spans="1:7" x14ac:dyDescent="0.3">
      <c r="A170" s="4" t="s">
        <v>187</v>
      </c>
      <c r="B170" s="5">
        <v>45977</v>
      </c>
      <c r="C170" s="4" t="s">
        <v>16</v>
      </c>
      <c r="D170" s="4" t="s">
        <v>14</v>
      </c>
      <c r="E170" s="4">
        <v>1</v>
      </c>
      <c r="F170" s="6">
        <v>799</v>
      </c>
      <c r="G170" s="6">
        <f t="shared" si="5"/>
        <v>799</v>
      </c>
    </row>
    <row r="171" spans="1:7" x14ac:dyDescent="0.3">
      <c r="A171" s="4" t="s">
        <v>188</v>
      </c>
      <c r="B171" s="5">
        <v>45978</v>
      </c>
      <c r="C171" s="4" t="s">
        <v>16</v>
      </c>
      <c r="D171" s="4" t="s">
        <v>14</v>
      </c>
      <c r="E171" s="4">
        <v>4</v>
      </c>
      <c r="F171" s="6">
        <v>799</v>
      </c>
      <c r="G171" s="6">
        <f t="shared" si="5"/>
        <v>3196</v>
      </c>
    </row>
    <row r="172" spans="1:7" x14ac:dyDescent="0.3">
      <c r="A172" s="4" t="s">
        <v>189</v>
      </c>
      <c r="B172" s="5">
        <v>45978</v>
      </c>
      <c r="C172" s="4" t="s">
        <v>19</v>
      </c>
      <c r="D172" s="4" t="s">
        <v>20</v>
      </c>
      <c r="E172" s="4">
        <v>1</v>
      </c>
      <c r="F172" s="6">
        <v>299</v>
      </c>
      <c r="G172" s="6">
        <f t="shared" si="5"/>
        <v>299</v>
      </c>
    </row>
    <row r="173" spans="1:7" x14ac:dyDescent="0.3">
      <c r="A173" s="4" t="s">
        <v>190</v>
      </c>
      <c r="B173" s="5">
        <v>45982</v>
      </c>
      <c r="C173" s="4" t="s">
        <v>39</v>
      </c>
      <c r="D173" s="4" t="s">
        <v>40</v>
      </c>
      <c r="E173" s="4">
        <v>4</v>
      </c>
      <c r="F173" s="6">
        <v>599</v>
      </c>
      <c r="G173" s="6">
        <f t="shared" si="5"/>
        <v>2396</v>
      </c>
    </row>
    <row r="174" spans="1:7" x14ac:dyDescent="0.3">
      <c r="A174" s="4" t="s">
        <v>191</v>
      </c>
      <c r="B174" s="5">
        <v>45982</v>
      </c>
      <c r="C174" s="4" t="s">
        <v>16</v>
      </c>
      <c r="D174" s="4" t="s">
        <v>14</v>
      </c>
      <c r="E174" s="4">
        <v>1</v>
      </c>
      <c r="F174" s="6">
        <v>799</v>
      </c>
      <c r="G174" s="6">
        <f t="shared" si="5"/>
        <v>799</v>
      </c>
    </row>
    <row r="175" spans="1:7" x14ac:dyDescent="0.3">
      <c r="A175" s="4" t="s">
        <v>192</v>
      </c>
      <c r="B175" s="5">
        <v>45986</v>
      </c>
      <c r="C175" s="4" t="s">
        <v>39</v>
      </c>
      <c r="D175" s="4" t="s">
        <v>40</v>
      </c>
      <c r="E175" s="4">
        <v>2</v>
      </c>
      <c r="F175" s="6">
        <v>599</v>
      </c>
      <c r="G175" s="6">
        <f t="shared" si="5"/>
        <v>1198</v>
      </c>
    </row>
    <row r="176" spans="1:7" x14ac:dyDescent="0.3">
      <c r="A176" s="4" t="s">
        <v>193</v>
      </c>
      <c r="B176" s="5">
        <v>45987</v>
      </c>
      <c r="C176" s="4" t="s">
        <v>16</v>
      </c>
      <c r="D176" s="4" t="s">
        <v>14</v>
      </c>
      <c r="E176" s="4">
        <v>2</v>
      </c>
      <c r="F176" s="6">
        <v>799</v>
      </c>
      <c r="G176" s="6">
        <f t="shared" si="5"/>
        <v>1598</v>
      </c>
    </row>
    <row r="177" spans="1:7" x14ac:dyDescent="0.3">
      <c r="A177" s="4" t="s">
        <v>194</v>
      </c>
      <c r="B177" s="5">
        <v>45988</v>
      </c>
      <c r="C177" s="4" t="s">
        <v>39</v>
      </c>
      <c r="D177" s="4" t="s">
        <v>40</v>
      </c>
      <c r="E177" s="4">
        <v>3</v>
      </c>
      <c r="F177" s="6">
        <v>599</v>
      </c>
      <c r="G177" s="6">
        <f t="shared" si="5"/>
        <v>1797</v>
      </c>
    </row>
    <row r="178" spans="1:7" x14ac:dyDescent="0.3">
      <c r="A178" s="4" t="s">
        <v>195</v>
      </c>
      <c r="B178" s="5">
        <v>45988</v>
      </c>
      <c r="C178" s="4" t="s">
        <v>16</v>
      </c>
      <c r="D178" s="4" t="s">
        <v>14</v>
      </c>
      <c r="E178" s="4">
        <v>1</v>
      </c>
      <c r="F178" s="6">
        <v>799</v>
      </c>
      <c r="G178" s="6">
        <f t="shared" si="5"/>
        <v>799</v>
      </c>
    </row>
    <row r="179" spans="1:7" x14ac:dyDescent="0.3">
      <c r="A179" s="4" t="s">
        <v>196</v>
      </c>
      <c r="B179" s="5">
        <v>45989</v>
      </c>
      <c r="C179" s="4" t="s">
        <v>13</v>
      </c>
      <c r="D179" s="4" t="s">
        <v>14</v>
      </c>
      <c r="E179" s="4">
        <v>5</v>
      </c>
      <c r="F179" s="6">
        <v>1499</v>
      </c>
      <c r="G179" s="6">
        <f t="shared" si="5"/>
        <v>7495</v>
      </c>
    </row>
    <row r="180" spans="1:7" x14ac:dyDescent="0.3">
      <c r="A180" s="4" t="s">
        <v>197</v>
      </c>
      <c r="B180" s="5">
        <v>45994</v>
      </c>
      <c r="C180" s="4" t="s">
        <v>16</v>
      </c>
      <c r="D180" s="4" t="s">
        <v>14</v>
      </c>
      <c r="E180" s="4">
        <v>1</v>
      </c>
      <c r="F180" s="6">
        <v>799</v>
      </c>
      <c r="G180" s="6">
        <f t="shared" si="5"/>
        <v>799</v>
      </c>
    </row>
    <row r="181" spans="1:7" x14ac:dyDescent="0.3">
      <c r="A181" s="4" t="s">
        <v>198</v>
      </c>
      <c r="B181" s="5">
        <v>45998</v>
      </c>
      <c r="C181" s="4" t="s">
        <v>13</v>
      </c>
      <c r="D181" s="4" t="s">
        <v>14</v>
      </c>
      <c r="E181" s="4">
        <v>5</v>
      </c>
      <c r="F181" s="6">
        <v>1499</v>
      </c>
      <c r="G181" s="6">
        <f t="shared" si="5"/>
        <v>7495</v>
      </c>
    </row>
    <row r="182" spans="1:7" x14ac:dyDescent="0.3">
      <c r="A182" s="4" t="s">
        <v>199</v>
      </c>
      <c r="B182" s="5">
        <v>45999</v>
      </c>
      <c r="C182" s="4" t="s">
        <v>19</v>
      </c>
      <c r="D182" s="4" t="s">
        <v>20</v>
      </c>
      <c r="E182" s="4">
        <v>2</v>
      </c>
      <c r="F182" s="6">
        <v>299</v>
      </c>
      <c r="G182" s="6">
        <f t="shared" si="5"/>
        <v>598</v>
      </c>
    </row>
    <row r="183" spans="1:7" x14ac:dyDescent="0.3">
      <c r="A183" s="4" t="s">
        <v>200</v>
      </c>
      <c r="B183" s="5">
        <v>45999</v>
      </c>
      <c r="C183" s="4" t="s">
        <v>16</v>
      </c>
      <c r="D183" s="4" t="s">
        <v>14</v>
      </c>
      <c r="E183" s="4">
        <v>3</v>
      </c>
      <c r="F183" s="6">
        <v>799</v>
      </c>
      <c r="G183" s="6">
        <f t="shared" si="5"/>
        <v>2397</v>
      </c>
    </row>
    <row r="184" spans="1:7" x14ac:dyDescent="0.3">
      <c r="A184" s="4" t="s">
        <v>201</v>
      </c>
      <c r="B184" s="5">
        <v>46000</v>
      </c>
      <c r="C184" s="4" t="s">
        <v>13</v>
      </c>
      <c r="D184" s="4" t="s">
        <v>14</v>
      </c>
      <c r="E184" s="4">
        <v>3</v>
      </c>
      <c r="F184" s="6">
        <v>1499</v>
      </c>
      <c r="G184" s="6">
        <f t="shared" si="5"/>
        <v>4497</v>
      </c>
    </row>
    <row r="185" spans="1:7" x14ac:dyDescent="0.3">
      <c r="A185" s="4" t="s">
        <v>202</v>
      </c>
      <c r="B185" s="5">
        <v>46003</v>
      </c>
      <c r="C185" s="4" t="s">
        <v>13</v>
      </c>
      <c r="D185" s="4" t="s">
        <v>14</v>
      </c>
      <c r="E185" s="4">
        <v>1</v>
      </c>
      <c r="F185" s="6">
        <v>1499</v>
      </c>
      <c r="G185" s="6">
        <f t="shared" si="5"/>
        <v>1499</v>
      </c>
    </row>
    <row r="186" spans="1:7" x14ac:dyDescent="0.3">
      <c r="A186" s="4" t="s">
        <v>203</v>
      </c>
      <c r="B186" s="5">
        <v>46004</v>
      </c>
      <c r="C186" s="4" t="s">
        <v>16</v>
      </c>
      <c r="D186" s="4" t="s">
        <v>14</v>
      </c>
      <c r="E186" s="4">
        <v>2</v>
      </c>
      <c r="F186" s="6">
        <v>799</v>
      </c>
      <c r="G186" s="6">
        <f t="shared" si="5"/>
        <v>1598</v>
      </c>
    </row>
    <row r="187" spans="1:7" x14ac:dyDescent="0.3">
      <c r="A187" s="4" t="s">
        <v>204</v>
      </c>
      <c r="B187" s="5">
        <v>46004</v>
      </c>
      <c r="C187" s="4" t="s">
        <v>16</v>
      </c>
      <c r="D187" s="4" t="s">
        <v>14</v>
      </c>
      <c r="E187" s="4">
        <v>2</v>
      </c>
      <c r="F187" s="6">
        <v>799</v>
      </c>
      <c r="G187" s="6">
        <f t="shared" si="5"/>
        <v>1598</v>
      </c>
    </row>
    <row r="188" spans="1:7" x14ac:dyDescent="0.3">
      <c r="A188" s="4" t="s">
        <v>205</v>
      </c>
      <c r="B188" s="5">
        <v>46005</v>
      </c>
      <c r="C188" s="4" t="s">
        <v>16</v>
      </c>
      <c r="D188" s="4" t="s">
        <v>14</v>
      </c>
      <c r="E188" s="4">
        <v>3</v>
      </c>
      <c r="F188" s="6">
        <v>799</v>
      </c>
      <c r="G188" s="6">
        <f t="shared" si="5"/>
        <v>2397</v>
      </c>
    </row>
    <row r="189" spans="1:7" x14ac:dyDescent="0.3">
      <c r="A189" s="4" t="s">
        <v>206</v>
      </c>
      <c r="B189" s="5">
        <v>46005</v>
      </c>
      <c r="C189" s="4" t="s">
        <v>19</v>
      </c>
      <c r="D189" s="4" t="s">
        <v>20</v>
      </c>
      <c r="E189" s="4">
        <v>5</v>
      </c>
      <c r="F189" s="6">
        <v>299</v>
      </c>
      <c r="G189" s="6">
        <f t="shared" si="5"/>
        <v>1495</v>
      </c>
    </row>
    <row r="190" spans="1:7" x14ac:dyDescent="0.3">
      <c r="A190" s="4" t="s">
        <v>207</v>
      </c>
      <c r="B190" s="5">
        <v>46006</v>
      </c>
      <c r="C190" s="4" t="s">
        <v>19</v>
      </c>
      <c r="D190" s="4" t="s">
        <v>20</v>
      </c>
      <c r="E190" s="4">
        <v>2</v>
      </c>
      <c r="F190" s="6">
        <v>299</v>
      </c>
      <c r="G190" s="6">
        <f t="shared" si="5"/>
        <v>598</v>
      </c>
    </row>
    <row r="191" spans="1:7" x14ac:dyDescent="0.3">
      <c r="A191" s="4" t="s">
        <v>208</v>
      </c>
      <c r="B191" s="5">
        <v>46007</v>
      </c>
      <c r="C191" s="4" t="s">
        <v>19</v>
      </c>
      <c r="D191" s="4" t="s">
        <v>20</v>
      </c>
      <c r="E191" s="4">
        <v>1</v>
      </c>
      <c r="F191" s="6">
        <v>299</v>
      </c>
      <c r="G191" s="6">
        <f t="shared" si="5"/>
        <v>299</v>
      </c>
    </row>
    <row r="192" spans="1:7" x14ac:dyDescent="0.3">
      <c r="A192" s="4" t="s">
        <v>209</v>
      </c>
      <c r="B192" s="5">
        <v>46008</v>
      </c>
      <c r="C192" s="4" t="s">
        <v>16</v>
      </c>
      <c r="D192" s="4" t="s">
        <v>14</v>
      </c>
      <c r="E192" s="4">
        <v>6</v>
      </c>
      <c r="F192" s="6">
        <v>799</v>
      </c>
      <c r="G192" s="6">
        <f t="shared" si="5"/>
        <v>4794</v>
      </c>
    </row>
    <row r="193" spans="1:7" x14ac:dyDescent="0.3">
      <c r="A193" s="4" t="s">
        <v>210</v>
      </c>
      <c r="B193" s="5">
        <v>46008</v>
      </c>
      <c r="C193" s="4" t="s">
        <v>16</v>
      </c>
      <c r="D193" s="4" t="s">
        <v>14</v>
      </c>
      <c r="E193" s="4">
        <v>1</v>
      </c>
      <c r="F193" s="6">
        <v>799</v>
      </c>
      <c r="G193" s="6">
        <f t="shared" si="5"/>
        <v>799</v>
      </c>
    </row>
    <row r="194" spans="1:7" x14ac:dyDescent="0.3">
      <c r="A194" s="4" t="s">
        <v>211</v>
      </c>
      <c r="B194" s="5">
        <v>46009</v>
      </c>
      <c r="C194" s="4" t="s">
        <v>19</v>
      </c>
      <c r="D194" s="4" t="s">
        <v>20</v>
      </c>
      <c r="E194" s="4">
        <v>3</v>
      </c>
      <c r="F194" s="6">
        <v>299</v>
      </c>
      <c r="G194" s="6">
        <f t="shared" ref="G194:G225" si="6">E194*F194</f>
        <v>897</v>
      </c>
    </row>
    <row r="195" spans="1:7" x14ac:dyDescent="0.3">
      <c r="A195" s="4" t="s">
        <v>212</v>
      </c>
      <c r="B195" s="5">
        <v>46009</v>
      </c>
      <c r="C195" s="4" t="s">
        <v>13</v>
      </c>
      <c r="D195" s="4" t="s">
        <v>14</v>
      </c>
      <c r="E195" s="4">
        <v>2</v>
      </c>
      <c r="F195" s="6">
        <v>1499</v>
      </c>
      <c r="G195" s="6">
        <f t="shared" si="6"/>
        <v>2998</v>
      </c>
    </row>
    <row r="196" spans="1:7" x14ac:dyDescent="0.3">
      <c r="A196" s="4" t="s">
        <v>213</v>
      </c>
      <c r="B196" s="5">
        <v>46009</v>
      </c>
      <c r="C196" s="4" t="s">
        <v>39</v>
      </c>
      <c r="D196" s="4" t="s">
        <v>40</v>
      </c>
      <c r="E196" s="4">
        <v>1</v>
      </c>
      <c r="F196" s="6">
        <v>599</v>
      </c>
      <c r="G196" s="6">
        <f t="shared" si="6"/>
        <v>599</v>
      </c>
    </row>
    <row r="197" spans="1:7" x14ac:dyDescent="0.3">
      <c r="A197" s="4" t="s">
        <v>214</v>
      </c>
      <c r="B197" s="5">
        <v>46010</v>
      </c>
      <c r="C197" s="4" t="s">
        <v>16</v>
      </c>
      <c r="D197" s="4" t="s">
        <v>14</v>
      </c>
      <c r="E197" s="4">
        <v>2</v>
      </c>
      <c r="F197" s="6">
        <v>799</v>
      </c>
      <c r="G197" s="6">
        <f t="shared" si="6"/>
        <v>1598</v>
      </c>
    </row>
    <row r="198" spans="1:7" x14ac:dyDescent="0.3">
      <c r="A198" s="4" t="s">
        <v>215</v>
      </c>
      <c r="B198" s="5">
        <v>46010</v>
      </c>
      <c r="C198" s="4" t="s">
        <v>19</v>
      </c>
      <c r="D198" s="4" t="s">
        <v>20</v>
      </c>
      <c r="E198" s="4">
        <v>2</v>
      </c>
      <c r="F198" s="6">
        <v>299</v>
      </c>
      <c r="G198" s="6">
        <f t="shared" si="6"/>
        <v>598</v>
      </c>
    </row>
    <row r="199" spans="1:7" x14ac:dyDescent="0.3">
      <c r="A199" s="4" t="s">
        <v>216</v>
      </c>
      <c r="B199" s="5">
        <v>46015</v>
      </c>
      <c r="C199" s="4" t="s">
        <v>19</v>
      </c>
      <c r="D199" s="4" t="s">
        <v>20</v>
      </c>
      <c r="E199" s="4">
        <v>5</v>
      </c>
      <c r="F199" s="6">
        <v>299</v>
      </c>
      <c r="G199" s="6">
        <f t="shared" si="6"/>
        <v>1495</v>
      </c>
    </row>
    <row r="200" spans="1:7" x14ac:dyDescent="0.3">
      <c r="A200" s="4" t="s">
        <v>217</v>
      </c>
      <c r="B200" s="5">
        <v>46016</v>
      </c>
      <c r="C200" s="4" t="s">
        <v>16</v>
      </c>
      <c r="D200" s="4" t="s">
        <v>14</v>
      </c>
      <c r="E200" s="4">
        <v>4</v>
      </c>
      <c r="F200" s="6">
        <v>799</v>
      </c>
      <c r="G200" s="6">
        <f t="shared" si="6"/>
        <v>3196</v>
      </c>
    </row>
    <row r="201" spans="1:7" x14ac:dyDescent="0.3">
      <c r="A201" s="4" t="s">
        <v>218</v>
      </c>
      <c r="B201" s="5">
        <v>46021</v>
      </c>
      <c r="C201" s="4" t="s">
        <v>16</v>
      </c>
      <c r="D201" s="4" t="s">
        <v>14</v>
      </c>
      <c r="E201" s="4">
        <v>4</v>
      </c>
      <c r="F201" s="6">
        <v>799</v>
      </c>
      <c r="G201" s="6">
        <f t="shared" si="6"/>
        <v>3196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  <pageSetUpPr fitToPage="1"/>
  </sheetPr>
  <dimension ref="A1:J24"/>
  <sheetViews>
    <sheetView showGridLines="0" zoomScaleNormal="100" workbookViewId="0">
      <pane ySplit="4" topLeftCell="A5" activePane="bottomLeft" state="frozen"/>
      <selection pane="bottomLeft" activeCell="G22" sqref="G22"/>
    </sheetView>
  </sheetViews>
  <sheetFormatPr defaultColWidth="8.6640625" defaultRowHeight="14.4" x14ac:dyDescent="0.3"/>
  <cols>
    <col min="1" max="1" width="2" customWidth="1"/>
    <col min="2" max="2" width="12" customWidth="1"/>
    <col min="3" max="3" width="14" customWidth="1"/>
    <col min="4" max="4" width="18" customWidth="1"/>
    <col min="5" max="5" width="10" customWidth="1"/>
    <col min="6" max="6" width="12" customWidth="1"/>
    <col min="7" max="7" width="18" customWidth="1"/>
    <col min="8" max="8" width="16" customWidth="1"/>
    <col min="9" max="10" width="15" customWidth="1"/>
  </cols>
  <sheetData>
    <row r="1" spans="1:10" ht="30" customHeight="1" x14ac:dyDescent="0.4">
      <c r="A1" s="10"/>
      <c r="B1" s="15" t="s">
        <v>219</v>
      </c>
      <c r="C1" s="10"/>
      <c r="D1" s="10"/>
      <c r="E1" s="10"/>
      <c r="F1" s="10"/>
      <c r="G1" s="10"/>
      <c r="H1" s="10"/>
      <c r="I1" s="10"/>
      <c r="J1" s="10"/>
    </row>
    <row r="2" spans="1:10" x14ac:dyDescent="0.3">
      <c r="A2" s="10"/>
      <c r="B2" s="16"/>
      <c r="C2" s="10"/>
      <c r="D2" s="10"/>
      <c r="E2" s="10"/>
      <c r="F2" s="10"/>
      <c r="G2" s="10"/>
      <c r="H2" s="10"/>
      <c r="I2" s="10"/>
      <c r="J2" s="10"/>
    </row>
    <row r="3" spans="1:10" x14ac:dyDescent="0.3">
      <c r="B3" s="1"/>
    </row>
    <row r="4" spans="1:10" ht="42" customHeight="1" x14ac:dyDescent="0.3">
      <c r="B4" s="17" t="s">
        <v>220</v>
      </c>
      <c r="C4" s="17" t="s">
        <v>221</v>
      </c>
      <c r="D4" s="17" t="s">
        <v>222</v>
      </c>
      <c r="E4" s="17" t="s">
        <v>223</v>
      </c>
      <c r="F4" s="17" t="s">
        <v>224</v>
      </c>
      <c r="G4" s="17" t="s">
        <v>225</v>
      </c>
      <c r="H4" s="17" t="s">
        <v>226</v>
      </c>
      <c r="I4" s="17" t="s">
        <v>227</v>
      </c>
      <c r="J4" s="17" t="s">
        <v>228</v>
      </c>
    </row>
    <row r="5" spans="1:10" x14ac:dyDescent="0.3">
      <c r="B5" s="18" t="s">
        <v>229</v>
      </c>
      <c r="C5" s="19">
        <v>45658</v>
      </c>
      <c r="D5" s="20">
        <f>SUMIFS(Sales_Data!$G:$G,Sales_Data!$B:$B,"&gt;="&amp;$C5,Sales_Data!$B:$B,"&lt;"&amp;EDATE($C5,1))</f>
        <v>26068</v>
      </c>
      <c r="E5" s="18">
        <f>COUNTIFS(Sales_Data!$B:$B,"&gt;="&amp;$C5,Sales_Data!$B:$B,"&lt;"&amp;EDATE($C5,1))</f>
        <v>14</v>
      </c>
      <c r="F5" s="18">
        <f>SUMIFS(Sales_Data!$E:$E,Sales_Data!$B:$B,"&gt;="&amp;$C5,Sales_Data!$B:$B,"&lt;"&amp;EDATE($C5,1))</f>
        <v>32</v>
      </c>
      <c r="G5" s="20">
        <f t="shared" ref="G5:G17" si="0">IF(E5=0,"N/A",D5/E5)</f>
        <v>1862</v>
      </c>
      <c r="H5" s="21" t="s">
        <v>230</v>
      </c>
      <c r="I5" s="22">
        <f t="shared" ref="I5:I16" si="1">IF(ISNUMBER(H5),IF(H5&gt;=0,H5,0),0)</f>
        <v>0</v>
      </c>
      <c r="J5" s="22">
        <f t="shared" ref="J5:J16" si="2">IF(ISNUMBER(H5),IF(H5&lt;0,H5,0),0)</f>
        <v>0</v>
      </c>
    </row>
    <row r="6" spans="1:10" x14ac:dyDescent="0.3">
      <c r="B6" s="23" t="s">
        <v>231</v>
      </c>
      <c r="C6" s="24">
        <v>45689</v>
      </c>
      <c r="D6" s="25">
        <f>SUMIFS(Sales_Data!$G:$G,Sales_Data!$B:$B,"&gt;="&amp;$C6,Sales_Data!$B:$B,"&lt;"&amp;EDATE($C6,1))</f>
        <v>26465</v>
      </c>
      <c r="E6" s="23">
        <f>COUNTIFS(Sales_Data!$B:$B,"&gt;="&amp;$C6,Sales_Data!$B:$B,"&lt;"&amp;EDATE($C6,1))</f>
        <v>13</v>
      </c>
      <c r="F6" s="23">
        <f>SUMIFS(Sales_Data!$E:$E,Sales_Data!$B:$B,"&gt;="&amp;$C6,Sales_Data!$B:$B,"&lt;"&amp;EDATE($C6,1))</f>
        <v>35</v>
      </c>
      <c r="G6" s="25">
        <f t="shared" si="0"/>
        <v>2035.7692307692307</v>
      </c>
      <c r="H6" s="26">
        <f t="shared" ref="H6:H16" si="3">IF(D5=0,"N/A",(D6-D5)/D5)</f>
        <v>1.5229400030688968E-2</v>
      </c>
      <c r="I6" s="27">
        <f t="shared" si="1"/>
        <v>1.5229400030688968E-2</v>
      </c>
      <c r="J6" s="27">
        <f t="shared" si="2"/>
        <v>0</v>
      </c>
    </row>
    <row r="7" spans="1:10" x14ac:dyDescent="0.3">
      <c r="B7" s="18" t="s">
        <v>232</v>
      </c>
      <c r="C7" s="19">
        <v>45717</v>
      </c>
      <c r="D7" s="20">
        <f>SUMIFS(Sales_Data!$G:$G,Sales_Data!$B:$B,"&gt;="&amp;$C7,Sales_Data!$B:$B,"&lt;"&amp;EDATE($C7,1))</f>
        <v>37452</v>
      </c>
      <c r="E7" s="18">
        <f>COUNTIFS(Sales_Data!$B:$B,"&gt;="&amp;$C7,Sales_Data!$B:$B,"&lt;"&amp;EDATE($C7,1))</f>
        <v>16</v>
      </c>
      <c r="F7" s="18">
        <f>SUMIFS(Sales_Data!$E:$E,Sales_Data!$B:$B,"&gt;="&amp;$C7,Sales_Data!$B:$B,"&lt;"&amp;EDATE($C7,1))</f>
        <v>48</v>
      </c>
      <c r="G7" s="20">
        <f t="shared" si="0"/>
        <v>2340.75</v>
      </c>
      <c r="H7" s="21">
        <f t="shared" si="3"/>
        <v>0.41515208766295109</v>
      </c>
      <c r="I7" s="22">
        <f t="shared" si="1"/>
        <v>0.41515208766295109</v>
      </c>
      <c r="J7" s="22">
        <f t="shared" si="2"/>
        <v>0</v>
      </c>
    </row>
    <row r="8" spans="1:10" x14ac:dyDescent="0.3">
      <c r="B8" s="23" t="s">
        <v>233</v>
      </c>
      <c r="C8" s="24">
        <v>45748</v>
      </c>
      <c r="D8" s="25">
        <f>SUMIFS(Sales_Data!$G:$G,Sales_Data!$B:$B,"&gt;="&amp;$C8,Sales_Data!$B:$B,"&lt;"&amp;EDATE($C8,1))</f>
        <v>34263</v>
      </c>
      <c r="E8" s="23">
        <f>COUNTIFS(Sales_Data!$B:$B,"&gt;="&amp;$C8,Sales_Data!$B:$B,"&lt;"&amp;EDATE($C8,1))</f>
        <v>15</v>
      </c>
      <c r="F8" s="23">
        <f>SUMIFS(Sales_Data!$E:$E,Sales_Data!$B:$B,"&gt;="&amp;$C8,Sales_Data!$B:$B,"&lt;"&amp;EDATE($C8,1))</f>
        <v>37</v>
      </c>
      <c r="G8" s="25">
        <f t="shared" si="0"/>
        <v>2284.1999999999998</v>
      </c>
      <c r="H8" s="26">
        <f t="shared" si="3"/>
        <v>-8.5148990708106373E-2</v>
      </c>
      <c r="I8" s="27">
        <f t="shared" si="1"/>
        <v>0</v>
      </c>
      <c r="J8" s="27">
        <f t="shared" si="2"/>
        <v>-8.5148990708106373E-2</v>
      </c>
    </row>
    <row r="9" spans="1:10" x14ac:dyDescent="0.3">
      <c r="B9" s="18" t="s">
        <v>234</v>
      </c>
      <c r="C9" s="19">
        <v>45778</v>
      </c>
      <c r="D9" s="20">
        <f>SUMIFS(Sales_Data!$G:$G,Sales_Data!$B:$B,"&gt;="&amp;$C9,Sales_Data!$B:$B,"&lt;"&amp;EDATE($C9,1))</f>
        <v>38152</v>
      </c>
      <c r="E9" s="18">
        <f>COUNTIFS(Sales_Data!$B:$B,"&gt;="&amp;$C9,Sales_Data!$B:$B,"&lt;"&amp;EDATE($C9,1))</f>
        <v>17</v>
      </c>
      <c r="F9" s="18">
        <f>SUMIFS(Sales_Data!$E:$E,Sales_Data!$B:$B,"&gt;="&amp;$C9,Sales_Data!$B:$B,"&lt;"&amp;EDATE($C9,1))</f>
        <v>48</v>
      </c>
      <c r="G9" s="20">
        <f t="shared" si="0"/>
        <v>2244.2352941176468</v>
      </c>
      <c r="H9" s="21">
        <f t="shared" si="3"/>
        <v>0.11350436330735779</v>
      </c>
      <c r="I9" s="22">
        <f t="shared" si="1"/>
        <v>0.11350436330735779</v>
      </c>
      <c r="J9" s="22">
        <f t="shared" si="2"/>
        <v>0</v>
      </c>
    </row>
    <row r="10" spans="1:10" x14ac:dyDescent="0.3">
      <c r="B10" s="23" t="s">
        <v>235</v>
      </c>
      <c r="C10" s="24">
        <v>45809</v>
      </c>
      <c r="D10" s="25">
        <f>SUMIFS(Sales_Data!$G:$G,Sales_Data!$B:$B,"&gt;="&amp;$C10,Sales_Data!$B:$B,"&lt;"&amp;EDATE($C10,1))</f>
        <v>37359</v>
      </c>
      <c r="E10" s="23">
        <f>COUNTIFS(Sales_Data!$B:$B,"&gt;="&amp;$C10,Sales_Data!$B:$B,"&lt;"&amp;EDATE($C10,1))</f>
        <v>15</v>
      </c>
      <c r="F10" s="23">
        <f>SUMIFS(Sales_Data!$E:$E,Sales_Data!$B:$B,"&gt;="&amp;$C10,Sales_Data!$B:$B,"&lt;"&amp;EDATE($C10,1))</f>
        <v>41</v>
      </c>
      <c r="G10" s="25">
        <f t="shared" si="0"/>
        <v>2490.6</v>
      </c>
      <c r="H10" s="26">
        <f t="shared" si="3"/>
        <v>-2.078527993289998E-2</v>
      </c>
      <c r="I10" s="27">
        <f t="shared" si="1"/>
        <v>0</v>
      </c>
      <c r="J10" s="27">
        <f t="shared" si="2"/>
        <v>-2.078527993289998E-2</v>
      </c>
    </row>
    <row r="11" spans="1:10" x14ac:dyDescent="0.3">
      <c r="B11" s="18" t="s">
        <v>236</v>
      </c>
      <c r="C11" s="19">
        <v>45839</v>
      </c>
      <c r="D11" s="20">
        <f>SUMIFS(Sales_Data!$G:$G,Sales_Data!$B:$B,"&gt;="&amp;$C11,Sales_Data!$B:$B,"&lt;"&amp;EDATE($C11,1))</f>
        <v>16975</v>
      </c>
      <c r="E11" s="18">
        <f>COUNTIFS(Sales_Data!$B:$B,"&gt;="&amp;$C11,Sales_Data!$B:$B,"&lt;"&amp;EDATE($C11,1))</f>
        <v>12</v>
      </c>
      <c r="F11" s="18">
        <f>SUMIFS(Sales_Data!$E:$E,Sales_Data!$B:$B,"&gt;="&amp;$C11,Sales_Data!$B:$B,"&lt;"&amp;EDATE($C11,1))</f>
        <v>25</v>
      </c>
      <c r="G11" s="20">
        <f t="shared" si="0"/>
        <v>1414.5833333333333</v>
      </c>
      <c r="H11" s="21">
        <f t="shared" si="3"/>
        <v>-0.54562488289301103</v>
      </c>
      <c r="I11" s="22">
        <f t="shared" si="1"/>
        <v>0</v>
      </c>
      <c r="J11" s="22">
        <f t="shared" si="2"/>
        <v>-0.54562488289301103</v>
      </c>
    </row>
    <row r="12" spans="1:10" x14ac:dyDescent="0.3">
      <c r="B12" s="23" t="s">
        <v>237</v>
      </c>
      <c r="C12" s="24">
        <v>45870</v>
      </c>
      <c r="D12" s="25">
        <f>SUMIFS(Sales_Data!$G:$G,Sales_Data!$B:$B,"&gt;="&amp;$C12,Sales_Data!$B:$B,"&lt;"&amp;EDATE($C12,1))</f>
        <v>17871</v>
      </c>
      <c r="E12" s="23">
        <f>COUNTIFS(Sales_Data!$B:$B,"&gt;="&amp;$C12,Sales_Data!$B:$B,"&lt;"&amp;EDATE($C12,1))</f>
        <v>14</v>
      </c>
      <c r="F12" s="23">
        <f>SUMIFS(Sales_Data!$E:$E,Sales_Data!$B:$B,"&gt;="&amp;$C12,Sales_Data!$B:$B,"&lt;"&amp;EDATE($C12,1))</f>
        <v>29</v>
      </c>
      <c r="G12" s="25">
        <f t="shared" si="0"/>
        <v>1276.5</v>
      </c>
      <c r="H12" s="26">
        <f t="shared" si="3"/>
        <v>5.2783505154639178E-2</v>
      </c>
      <c r="I12" s="27">
        <f t="shared" si="1"/>
        <v>5.2783505154639178E-2</v>
      </c>
      <c r="J12" s="27">
        <f t="shared" si="2"/>
        <v>0</v>
      </c>
    </row>
    <row r="13" spans="1:10" x14ac:dyDescent="0.3">
      <c r="B13" s="18" t="s">
        <v>238</v>
      </c>
      <c r="C13" s="19">
        <v>45901</v>
      </c>
      <c r="D13" s="20">
        <f>SUMIFS(Sales_Data!$G:$G,Sales_Data!$B:$B,"&gt;="&amp;$C13,Sales_Data!$B:$B,"&lt;"&amp;EDATE($C13,1))</f>
        <v>26956</v>
      </c>
      <c r="E13" s="18">
        <f>COUNTIFS(Sales_Data!$B:$B,"&gt;="&amp;$C13,Sales_Data!$B:$B,"&lt;"&amp;EDATE($C13,1))</f>
        <v>18</v>
      </c>
      <c r="F13" s="18">
        <f>SUMIFS(Sales_Data!$E:$E,Sales_Data!$B:$B,"&gt;="&amp;$C13,Sales_Data!$B:$B,"&lt;"&amp;EDATE($C13,1))</f>
        <v>44</v>
      </c>
      <c r="G13" s="20">
        <f t="shared" si="0"/>
        <v>1497.5555555555557</v>
      </c>
      <c r="H13" s="21">
        <f t="shared" si="3"/>
        <v>0.50836550836550831</v>
      </c>
      <c r="I13" s="22">
        <f t="shared" si="1"/>
        <v>0.50836550836550831</v>
      </c>
      <c r="J13" s="22">
        <f t="shared" si="2"/>
        <v>0</v>
      </c>
    </row>
    <row r="14" spans="1:10" x14ac:dyDescent="0.3">
      <c r="B14" s="23" t="s">
        <v>239</v>
      </c>
      <c r="C14" s="24">
        <v>45931</v>
      </c>
      <c r="D14" s="25">
        <f>SUMIFS(Sales_Data!$G:$G,Sales_Data!$B:$B,"&gt;="&amp;$C14,Sales_Data!$B:$B,"&lt;"&amp;EDATE($C14,1))</f>
        <v>27358</v>
      </c>
      <c r="E14" s="23">
        <f>COUNTIFS(Sales_Data!$B:$B,"&gt;="&amp;$C14,Sales_Data!$B:$B,"&lt;"&amp;EDATE($C14,1))</f>
        <v>20</v>
      </c>
      <c r="F14" s="23">
        <f>SUMIFS(Sales_Data!$E:$E,Sales_Data!$B:$B,"&gt;="&amp;$C14,Sales_Data!$B:$B,"&lt;"&amp;EDATE($C14,1))</f>
        <v>42</v>
      </c>
      <c r="G14" s="25">
        <f t="shared" si="0"/>
        <v>1367.9</v>
      </c>
      <c r="H14" s="26">
        <f t="shared" si="3"/>
        <v>1.4913191868229708E-2</v>
      </c>
      <c r="I14" s="27">
        <f t="shared" si="1"/>
        <v>1.4913191868229708E-2</v>
      </c>
      <c r="J14" s="27">
        <f t="shared" si="2"/>
        <v>0</v>
      </c>
    </row>
    <row r="15" spans="1:10" x14ac:dyDescent="0.3">
      <c r="B15" s="18" t="s">
        <v>240</v>
      </c>
      <c r="C15" s="19">
        <v>45962</v>
      </c>
      <c r="D15" s="20">
        <f>SUMIFS(Sales_Data!$G:$G,Sales_Data!$B:$B,"&gt;="&amp;$C15,Sales_Data!$B:$B,"&lt;"&amp;EDATE($C15,1))</f>
        <v>48345</v>
      </c>
      <c r="E15" s="18">
        <f>COUNTIFS(Sales_Data!$B:$B,"&gt;="&amp;$C15,Sales_Data!$B:$B,"&lt;"&amp;EDATE($C15,1))</f>
        <v>24</v>
      </c>
      <c r="F15" s="18">
        <f>SUMIFS(Sales_Data!$E:$E,Sales_Data!$B:$B,"&gt;="&amp;$C15,Sales_Data!$B:$B,"&lt;"&amp;EDATE($C15,1))</f>
        <v>55</v>
      </c>
      <c r="G15" s="20">
        <f t="shared" si="0"/>
        <v>2014.375</v>
      </c>
      <c r="H15" s="21">
        <f t="shared" si="3"/>
        <v>0.76712478982381749</v>
      </c>
      <c r="I15" s="22">
        <f t="shared" si="1"/>
        <v>0.76712478982381749</v>
      </c>
      <c r="J15" s="22">
        <f t="shared" si="2"/>
        <v>0</v>
      </c>
    </row>
    <row r="16" spans="1:10" x14ac:dyDescent="0.3">
      <c r="B16" s="23" t="s">
        <v>241</v>
      </c>
      <c r="C16" s="24">
        <v>45992</v>
      </c>
      <c r="D16" s="25">
        <f>SUMIFS(Sales_Data!$G:$G,Sales_Data!$B:$B,"&gt;="&amp;$C16,Sales_Data!$B:$B,"&lt;"&amp;EDATE($C16,1))</f>
        <v>45440</v>
      </c>
      <c r="E16" s="23">
        <f>COUNTIFS(Sales_Data!$B:$B,"&gt;="&amp;$C16,Sales_Data!$B:$B,"&lt;"&amp;EDATE($C16,1))</f>
        <v>22</v>
      </c>
      <c r="F16" s="23">
        <f>SUMIFS(Sales_Data!$E:$E,Sales_Data!$B:$B,"&gt;="&amp;$C16,Sales_Data!$B:$B,"&lt;"&amp;EDATE($C16,1))</f>
        <v>60</v>
      </c>
      <c r="G16" s="25">
        <f t="shared" si="0"/>
        <v>2065.4545454545455</v>
      </c>
      <c r="H16" s="26">
        <f t="shared" si="3"/>
        <v>-6.0088944047988417E-2</v>
      </c>
      <c r="I16" s="27">
        <f t="shared" si="1"/>
        <v>0</v>
      </c>
      <c r="J16" s="27">
        <f t="shared" si="2"/>
        <v>-6.0088944047988417E-2</v>
      </c>
    </row>
    <row r="17" spans="2:10" x14ac:dyDescent="0.3">
      <c r="B17" s="28" t="s">
        <v>242</v>
      </c>
      <c r="C17" s="28"/>
      <c r="D17" s="29">
        <f>SUM(D5:D16)</f>
        <v>382704</v>
      </c>
      <c r="E17" s="28">
        <f>SUM(E5:E16)</f>
        <v>200</v>
      </c>
      <c r="F17" s="28">
        <f>SUM(F5:F16)</f>
        <v>496</v>
      </c>
      <c r="G17" s="29">
        <f t="shared" si="0"/>
        <v>1913.52</v>
      </c>
      <c r="H17" s="30"/>
      <c r="I17" s="30"/>
      <c r="J17" s="30"/>
    </row>
    <row r="19" spans="2:10" x14ac:dyDescent="0.3">
      <c r="B19" s="7" t="s">
        <v>243</v>
      </c>
    </row>
    <row r="20" spans="2:10" x14ac:dyDescent="0.3">
      <c r="B20" s="4" t="s">
        <v>244</v>
      </c>
      <c r="D20" s="8">
        <f>SUM(Sales_Data!$G:$G)</f>
        <v>382704</v>
      </c>
    </row>
    <row r="21" spans="2:10" x14ac:dyDescent="0.3">
      <c r="B21" s="4" t="s">
        <v>245</v>
      </c>
      <c r="D21" s="8">
        <f>D17-D20</f>
        <v>0</v>
      </c>
    </row>
    <row r="22" spans="2:10" x14ac:dyDescent="0.3">
      <c r="B22" s="4" t="s">
        <v>246</v>
      </c>
      <c r="D22" s="9" t="str">
        <f>IF(D21=0,"OK – monthly totals match source","CHECK – mismatch")</f>
        <v>OK – monthly totals match source</v>
      </c>
    </row>
    <row r="24" spans="2:10" x14ac:dyDescent="0.3">
      <c r="B24" s="1"/>
    </row>
  </sheetData>
  <conditionalFormatting sqref="H5:H16">
    <cfRule type="cellIs" dxfId="0" priority="2" operator="lessThan">
      <formula>0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  <pageSetUpPr fitToPage="1"/>
  </sheetPr>
  <dimension ref="A1:J25"/>
  <sheetViews>
    <sheetView showGridLines="0" zoomScaleNormal="100" workbookViewId="0">
      <selection activeCell="B25" sqref="B25"/>
    </sheetView>
  </sheetViews>
  <sheetFormatPr defaultColWidth="8.6640625" defaultRowHeight="14.4" x14ac:dyDescent="0.3"/>
  <cols>
    <col min="1" max="1" width="2" customWidth="1"/>
    <col min="2" max="2" width="20" customWidth="1"/>
    <col min="3" max="3" width="18" customWidth="1"/>
    <col min="4" max="5" width="16" customWidth="1"/>
    <col min="6" max="6" width="12" customWidth="1"/>
    <col min="7" max="7" width="14" customWidth="1"/>
    <col min="8" max="8" width="16" customWidth="1"/>
    <col min="9" max="9" width="14" customWidth="1"/>
    <col min="10" max="10" width="4" customWidth="1"/>
  </cols>
  <sheetData>
    <row r="1" spans="1:10" ht="30" customHeight="1" x14ac:dyDescent="0.4">
      <c r="A1" s="10"/>
      <c r="B1" s="15" t="s">
        <v>247</v>
      </c>
      <c r="C1" s="10"/>
      <c r="D1" s="10"/>
      <c r="E1" s="10"/>
      <c r="F1" s="10"/>
      <c r="G1" s="10"/>
      <c r="H1" s="10"/>
      <c r="I1" s="10"/>
      <c r="J1" s="10"/>
    </row>
    <row r="2" spans="1:10" x14ac:dyDescent="0.3">
      <c r="A2" s="10"/>
      <c r="B2" s="16"/>
      <c r="C2" s="10"/>
      <c r="D2" s="10"/>
      <c r="E2" s="10"/>
      <c r="F2" s="10"/>
      <c r="G2" s="10"/>
      <c r="H2" s="10"/>
      <c r="I2" s="10"/>
      <c r="J2" s="10"/>
    </row>
    <row r="4" spans="1:10" ht="15.6" x14ac:dyDescent="0.3">
      <c r="B4" s="31" t="s">
        <v>248</v>
      </c>
    </row>
    <row r="5" spans="1:10" ht="31.5" customHeight="1" x14ac:dyDescent="0.3">
      <c r="B5" s="17" t="s">
        <v>7</v>
      </c>
      <c r="C5" s="17" t="s">
        <v>8</v>
      </c>
      <c r="D5" s="17" t="s">
        <v>249</v>
      </c>
      <c r="E5" s="17" t="s">
        <v>250</v>
      </c>
      <c r="F5" s="17" t="s">
        <v>224</v>
      </c>
      <c r="G5" s="17" t="s">
        <v>251</v>
      </c>
      <c r="H5" s="17" t="s">
        <v>252</v>
      </c>
      <c r="I5" s="17" t="s">
        <v>253</v>
      </c>
    </row>
    <row r="6" spans="1:10" x14ac:dyDescent="0.3">
      <c r="B6" s="34" t="s">
        <v>16</v>
      </c>
      <c r="C6" s="34" t="s">
        <v>14</v>
      </c>
      <c r="D6" s="35">
        <v>799</v>
      </c>
      <c r="E6" s="35">
        <f>SUMIFS(Sales_Data!$G:$G,Sales_Data!$C:$C,$B6)</f>
        <v>162197</v>
      </c>
      <c r="F6" s="36">
        <f>SUMIFS(Sales_Data!$E:$E,Sales_Data!$C:$C,$B6)</f>
        <v>203</v>
      </c>
      <c r="G6" s="36">
        <f>COUNTIFS(Sales_Data!$C:$C,$B6)</f>
        <v>81</v>
      </c>
      <c r="H6" s="37">
        <f>IFERROR(E6/$E$10,0)</f>
        <v>0.42381840796019898</v>
      </c>
      <c r="I6" s="38">
        <f>RANK(E6,$E$6:$E$9,0)</f>
        <v>1</v>
      </c>
    </row>
    <row r="7" spans="1:10" x14ac:dyDescent="0.3">
      <c r="B7" s="39" t="s">
        <v>13</v>
      </c>
      <c r="C7" s="39" t="s">
        <v>14</v>
      </c>
      <c r="D7" s="40">
        <v>1499</v>
      </c>
      <c r="E7" s="40">
        <f>SUMIFS(Sales_Data!$G:$G,Sales_Data!$C:$C,$B7)</f>
        <v>137908</v>
      </c>
      <c r="F7" s="41">
        <f>SUMIFS(Sales_Data!$E:$E,Sales_Data!$C:$C,$B7)</f>
        <v>92</v>
      </c>
      <c r="G7" s="41">
        <f>COUNTIFS(Sales_Data!$C:$C,$B7)</f>
        <v>31</v>
      </c>
      <c r="H7" s="42">
        <f>IFERROR(E7/$E$10,0)</f>
        <v>0.36035160332789834</v>
      </c>
      <c r="I7" s="43">
        <f>RANK(E7,$E$6:$E$9,0)</f>
        <v>2</v>
      </c>
    </row>
    <row r="8" spans="1:10" x14ac:dyDescent="0.3">
      <c r="B8" s="34" t="s">
        <v>19</v>
      </c>
      <c r="C8" s="34" t="s">
        <v>20</v>
      </c>
      <c r="D8" s="35">
        <v>299</v>
      </c>
      <c r="E8" s="35">
        <f>SUMIFS(Sales_Data!$G:$G,Sales_Data!$C:$C,$B8)</f>
        <v>37674</v>
      </c>
      <c r="F8" s="36">
        <f>SUMIFS(Sales_Data!$E:$E,Sales_Data!$C:$C,$B8)</f>
        <v>126</v>
      </c>
      <c r="G8" s="36">
        <f>COUNTIFS(Sales_Data!$C:$C,$B8)</f>
        <v>58</v>
      </c>
      <c r="H8" s="37">
        <f>IFERROR(E8/$E$10,0)</f>
        <v>9.8441615452151007E-2</v>
      </c>
      <c r="I8" s="38">
        <f>RANK(E8,$E$6:$E$9,0)</f>
        <v>4</v>
      </c>
    </row>
    <row r="9" spans="1:10" x14ac:dyDescent="0.3">
      <c r="B9" s="39" t="s">
        <v>39</v>
      </c>
      <c r="C9" s="39" t="s">
        <v>40</v>
      </c>
      <c r="D9" s="40">
        <v>599</v>
      </c>
      <c r="E9" s="40">
        <f>SUMIFS(Sales_Data!$G:$G,Sales_Data!$C:$C,$B9)</f>
        <v>44925</v>
      </c>
      <c r="F9" s="41">
        <f>SUMIFS(Sales_Data!$E:$E,Sales_Data!$C:$C,$B9)</f>
        <v>75</v>
      </c>
      <c r="G9" s="41">
        <f>COUNTIFS(Sales_Data!$C:$C,$B9)</f>
        <v>30</v>
      </c>
      <c r="H9" s="42">
        <f>IFERROR(E9/$E$10,0)</f>
        <v>0.11738837325975165</v>
      </c>
      <c r="I9" s="43">
        <f>RANK(E9,$E$6:$E$9,0)</f>
        <v>3</v>
      </c>
    </row>
    <row r="10" spans="1:10" x14ac:dyDescent="0.3">
      <c r="B10" s="32" t="s">
        <v>242</v>
      </c>
      <c r="C10" s="30"/>
      <c r="D10" s="30"/>
      <c r="E10" s="29">
        <f>SUM(E6:E9)</f>
        <v>382704</v>
      </c>
      <c r="F10" s="30">
        <f>SUM(F6:F9)</f>
        <v>496</v>
      </c>
      <c r="G10" s="30">
        <f>SUM(G6:G9)</f>
        <v>200</v>
      </c>
      <c r="H10" s="33">
        <f>SUM(H6:H9)</f>
        <v>1</v>
      </c>
      <c r="I10" s="30"/>
    </row>
    <row r="12" spans="1:10" ht="15.6" x14ac:dyDescent="0.3">
      <c r="B12" s="44" t="s">
        <v>254</v>
      </c>
      <c r="C12" s="45"/>
      <c r="D12" s="45"/>
      <c r="E12" s="45"/>
      <c r="F12" s="45"/>
      <c r="G12" s="45"/>
    </row>
    <row r="13" spans="1:10" ht="31.5" customHeight="1" x14ac:dyDescent="0.3">
      <c r="B13" s="17" t="s">
        <v>8</v>
      </c>
      <c r="C13" s="17" t="s">
        <v>250</v>
      </c>
      <c r="D13" s="17" t="s">
        <v>224</v>
      </c>
      <c r="E13" s="17" t="s">
        <v>251</v>
      </c>
      <c r="F13" s="17" t="s">
        <v>252</v>
      </c>
      <c r="G13" s="17" t="s">
        <v>253</v>
      </c>
    </row>
    <row r="14" spans="1:10" x14ac:dyDescent="0.3">
      <c r="B14" s="34" t="s">
        <v>14</v>
      </c>
      <c r="C14" s="35">
        <f>SUMIFS(Sales_Data!$G:$G,Sales_Data!$D:$D,$B14)</f>
        <v>300105</v>
      </c>
      <c r="D14" s="36">
        <f>SUMIFS(Sales_Data!$E:$E,Sales_Data!$D:$D,$B14)</f>
        <v>295</v>
      </c>
      <c r="E14" s="36">
        <f>COUNTIFS(Sales_Data!$D:$D,$B14)</f>
        <v>112</v>
      </c>
      <c r="F14" s="37">
        <f>IFERROR(C14/$C$17,0)</f>
        <v>0.78417001128809738</v>
      </c>
      <c r="G14" s="38">
        <f>RANK(C14,$C$14:$C$16,0)</f>
        <v>1</v>
      </c>
    </row>
    <row r="15" spans="1:10" x14ac:dyDescent="0.3">
      <c r="B15" s="39" t="s">
        <v>20</v>
      </c>
      <c r="C15" s="40">
        <f>SUMIFS(Sales_Data!$G:$G,Sales_Data!$D:$D,$B15)</f>
        <v>37674</v>
      </c>
      <c r="D15" s="41">
        <f>SUMIFS(Sales_Data!$E:$E,Sales_Data!$D:$D,$B15)</f>
        <v>126</v>
      </c>
      <c r="E15" s="41">
        <f>COUNTIFS(Sales_Data!$D:$D,$B15)</f>
        <v>58</v>
      </c>
      <c r="F15" s="42">
        <f>IFERROR(C15/$C$17,0)</f>
        <v>9.8441615452151007E-2</v>
      </c>
      <c r="G15" s="43">
        <f>RANK(C15,$C$14:$C$16,0)</f>
        <v>3</v>
      </c>
    </row>
    <row r="16" spans="1:10" x14ac:dyDescent="0.3">
      <c r="B16" s="34" t="s">
        <v>40</v>
      </c>
      <c r="C16" s="35">
        <f>SUMIFS(Sales_Data!$G:$G,Sales_Data!$D:$D,$B16)</f>
        <v>44925</v>
      </c>
      <c r="D16" s="36">
        <f>SUMIFS(Sales_Data!$E:$E,Sales_Data!$D:$D,$B16)</f>
        <v>75</v>
      </c>
      <c r="E16" s="36">
        <f>COUNTIFS(Sales_Data!$D:$D,$B16)</f>
        <v>30</v>
      </c>
      <c r="F16" s="37">
        <f>IFERROR(C16/$C$17,0)</f>
        <v>0.11738837325975165</v>
      </c>
      <c r="G16" s="38">
        <f>RANK(C16,$C$14:$C$16,0)</f>
        <v>2</v>
      </c>
    </row>
    <row r="17" spans="2:7" x14ac:dyDescent="0.3">
      <c r="B17" s="32" t="s">
        <v>242</v>
      </c>
      <c r="C17" s="29">
        <f>SUM(C14:C16)</f>
        <v>382704</v>
      </c>
      <c r="D17" s="30">
        <f>SUM(D14:D16)</f>
        <v>496</v>
      </c>
      <c r="E17" s="30">
        <f>SUM(E14:E16)</f>
        <v>200</v>
      </c>
      <c r="F17" s="33">
        <f>SUM(F14:F16)</f>
        <v>1</v>
      </c>
      <c r="G17" s="30"/>
    </row>
    <row r="19" spans="2:7" x14ac:dyDescent="0.3">
      <c r="B19" s="7" t="s">
        <v>255</v>
      </c>
    </row>
    <row r="20" spans="2:7" x14ac:dyDescent="0.3">
      <c r="B20" s="4" t="s">
        <v>256</v>
      </c>
      <c r="E20" s="8">
        <f>SUM(Sales_Data!$G:$G)</f>
        <v>382704</v>
      </c>
    </row>
    <row r="21" spans="2:7" x14ac:dyDescent="0.3">
      <c r="B21" s="4" t="s">
        <v>257</v>
      </c>
      <c r="E21" s="8">
        <f>E10-E20</f>
        <v>0</v>
      </c>
    </row>
    <row r="22" spans="2:7" x14ac:dyDescent="0.3">
      <c r="B22" s="4" t="s">
        <v>258</v>
      </c>
      <c r="E22" s="8">
        <f>C17-E20</f>
        <v>0</v>
      </c>
    </row>
    <row r="23" spans="2:7" x14ac:dyDescent="0.3">
      <c r="B23" s="4" t="s">
        <v>246</v>
      </c>
      <c r="E23" s="9" t="str">
        <f>IF(AND(E21=0,E22=0),"OK – product and category totals match source","CHECK – mismatch")</f>
        <v>OK – product and category totals match source</v>
      </c>
    </row>
    <row r="25" spans="2:7" x14ac:dyDescent="0.3">
      <c r="B25" s="1"/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Sales_Data</vt:lpstr>
      <vt:lpstr>Monthly_Analysis</vt:lpstr>
      <vt:lpstr>Product_Analysis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Naveen Rajput</cp:lastModifiedBy>
  <cp:revision>1</cp:revision>
  <dcterms:created xsi:type="dcterms:W3CDTF">2026-10-27T18:30:07Z</dcterms:created>
  <dcterms:modified xsi:type="dcterms:W3CDTF">2026-10-27T18:44:15Z</dcterms:modified>
  <dc:language>en-US</dc:language>
</cp:coreProperties>
</file>